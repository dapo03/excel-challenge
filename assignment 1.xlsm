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0e5e4385b1578c2/Documents/"/>
    </mc:Choice>
  </mc:AlternateContent>
  <xr:revisionPtr revIDLastSave="280" documentId="8_{5399310C-E8F3-412C-BB32-D3BF9663E53C}" xr6:coauthVersionLast="47" xr6:coauthVersionMax="47" xr10:uidLastSave="{44DE06DF-5DA3-4FB4-8B36-EBCD28A174A0}"/>
  <bookViews>
    <workbookView xWindow="-108" yWindow="-108" windowWidth="23256" windowHeight="12456" xr2:uid="{00000000-000D-0000-FFFF-FFFF00000000}"/>
  </bookViews>
  <sheets>
    <sheet name="Crowdfunding" sheetId="1" r:id="rId1"/>
    <sheet name="Sheet5" sheetId="7" r:id="rId2"/>
    <sheet name="Sheet2" sheetId="3" r:id="rId3"/>
    <sheet name="Sheet3" sheetId="5" r:id="rId4"/>
  </sheets>
  <definedNames>
    <definedName name="_xlnm._FilterDatabase" localSheetId="3" hidden="1">Sheet3!$A$1:$J$1001</definedName>
  </definedNames>
  <calcPr calcId="191029"/>
  <pivotCaches>
    <pivotCache cacheId="0" r:id="rId5"/>
    <pivotCache cacheId="1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5" l="1"/>
  <c r="C2" i="5"/>
  <c r="D2" i="5"/>
  <c r="B3" i="5"/>
  <c r="C3" i="5"/>
  <c r="D3" i="5"/>
  <c r="B4" i="5"/>
  <c r="C4" i="5"/>
  <c r="D4" i="5"/>
  <c r="B5" i="5"/>
  <c r="C5" i="5"/>
  <c r="D5" i="5"/>
  <c r="B6" i="5"/>
  <c r="C6" i="5"/>
  <c r="D6" i="5"/>
  <c r="B7" i="5"/>
  <c r="E7" i="5" s="1"/>
  <c r="G7" i="5" s="1"/>
  <c r="C7" i="5"/>
  <c r="D7" i="5"/>
  <c r="B8" i="5"/>
  <c r="C8" i="5"/>
  <c r="D8" i="5"/>
  <c r="B9" i="5"/>
  <c r="C9" i="5"/>
  <c r="D9" i="5"/>
  <c r="B10" i="5"/>
  <c r="C10" i="5"/>
  <c r="D10" i="5"/>
  <c r="B11" i="5"/>
  <c r="E11" i="5" s="1"/>
  <c r="H11" i="5" s="1"/>
  <c r="C11" i="5"/>
  <c r="D11" i="5"/>
  <c r="B12" i="5"/>
  <c r="C12" i="5"/>
  <c r="D12" i="5"/>
  <c r="B13" i="5"/>
  <c r="C13" i="5"/>
  <c r="D13" i="5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3" i="1"/>
  <c r="O4" i="1"/>
  <c r="O5" i="1"/>
  <c r="O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2" i="1"/>
  <c r="A7" i="1"/>
  <c r="E9" i="5" l="1"/>
  <c r="E8" i="5"/>
  <c r="H8" i="5" s="1"/>
  <c r="G5" i="5"/>
  <c r="E5" i="5"/>
  <c r="E4" i="5"/>
  <c r="E10" i="5"/>
  <c r="F10" i="5" s="1"/>
  <c r="E6" i="5"/>
  <c r="F6" i="5" s="1"/>
  <c r="E2" i="5"/>
  <c r="G11" i="5"/>
  <c r="G10" i="5"/>
  <c r="E3" i="5"/>
  <c r="G3" i="5" s="1"/>
  <c r="E13" i="5"/>
  <c r="F13" i="5" s="1"/>
  <c r="F9" i="5"/>
  <c r="H9" i="5"/>
  <c r="G8" i="5"/>
  <c r="H4" i="5"/>
  <c r="G4" i="5"/>
  <c r="F5" i="5"/>
  <c r="H5" i="5"/>
  <c r="F3" i="5"/>
  <c r="F2" i="5"/>
  <c r="G2" i="5"/>
  <c r="H2" i="5"/>
  <c r="G13" i="5"/>
  <c r="F8" i="5"/>
  <c r="F4" i="5"/>
  <c r="F11" i="5"/>
  <c r="F7" i="5"/>
  <c r="E12" i="5"/>
  <c r="H7" i="5"/>
  <c r="G9" i="5"/>
  <c r="H3" i="5" l="1"/>
  <c r="H6" i="5"/>
  <c r="G6" i="5"/>
  <c r="H10" i="5"/>
  <c r="H13" i="5"/>
  <c r="H12" i="5"/>
  <c r="G12" i="5"/>
  <c r="F12" i="5"/>
</calcChain>
</file>

<file path=xl/sharedStrings.xml><?xml version="1.0" encoding="utf-8"?>
<sst xmlns="http://schemas.openxmlformats.org/spreadsheetml/2006/main" count="8081" uniqueCount="2066">
  <si>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</si>
  <si>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</si>
  <si>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</si>
  <si>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</si>
  <si>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</si>
  <si>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</si>
  <si>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</si>
  <si>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</si>
  <si>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</si>
  <si>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</si>
  <si>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</si>
  <si>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</si>
  <si>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</si>
  <si>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</si>
  <si>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</si>
  <si>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</si>
  <si>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</si>
  <si>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</si>
  <si>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</si>
  <si>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</si>
  <si>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</si>
  <si>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</si>
  <si>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</si>
  <si>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</si>
  <si>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</si>
  <si>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</si>
  <si>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</si>
  <si>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</si>
  <si>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</si>
  <si>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</si>
  <si>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</si>
  <si>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</si>
  <si>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</si>
  <si>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</si>
  <si>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</si>
  <si>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</si>
  <si>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</si>
  <si>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</si>
  <si>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</si>
  <si>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</si>
  <si>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</si>
  <si>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</si>
  <si>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</si>
  <si>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</si>
  <si>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</si>
  <si>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</si>
  <si>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</si>
  <si>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</si>
  <si>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</si>
  <si>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</si>
  <si>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</si>
  <si>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</si>
  <si>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</si>
  <si>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</si>
  <si>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</si>
  <si>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</si>
  <si>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</si>
  <si>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</si>
  <si>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</si>
  <si>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</si>
  <si>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</si>
  <si>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</si>
  <si>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</si>
  <si>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</si>
  <si>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</si>
  <si>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</si>
  <si>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</si>
  <si>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</si>
  <si>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</si>
  <si>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</si>
  <si>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</si>
  <si>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</si>
  <si>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</si>
  <si>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</si>
  <si>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</si>
  <si>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</si>
  <si>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</si>
  <si>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</si>
  <si>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</si>
  <si>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</si>
  <si>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</si>
  <si>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</si>
  <si>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</si>
  <si>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</si>
  <si>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</si>
  <si>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</si>
  <si>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</si>
  <si>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</si>
  <si>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</si>
  <si>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</si>
  <si>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</si>
  <si>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</si>
  <si>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</si>
  <si>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</si>
  <si>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</si>
  <si>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</si>
  <si>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</si>
  <si>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</si>
  <si>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</si>
  <si>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</si>
  <si>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</si>
  <si>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</si>
  <si>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</si>
  <si>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</si>
  <si>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</si>
  <si>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</si>
  <si>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</si>
  <si>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</si>
  <si>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</si>
  <si>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</si>
  <si>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</si>
  <si>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</si>
  <si>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</si>
  <si>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</si>
  <si>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</si>
  <si>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</si>
  <si>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</si>
  <si>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</si>
  <si>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</si>
  <si>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</si>
  <si>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</si>
  <si>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</si>
  <si>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</si>
  <si>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</si>
  <si>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</si>
  <si>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</si>
  <si>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</si>
  <si>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</si>
  <si>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</si>
  <si>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</si>
  <si>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</si>
  <si>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</si>
  <si>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</si>
  <si>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</si>
  <si>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</si>
  <si>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</si>
  <si>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</si>
  <si>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</si>
  <si>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</si>
  <si>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</si>
  <si>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</si>
  <si>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</si>
  <si>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</si>
  <si>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</si>
  <si>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</si>
  <si>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</si>
  <si>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</si>
  <si>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</si>
  <si>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</si>
  <si>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</si>
  <si>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</si>
  <si>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</si>
  <si>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</si>
  <si>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</si>
  <si>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</si>
  <si>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</si>
  <si>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</si>
  <si>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</si>
  <si>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</si>
  <si>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</si>
  <si>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</si>
  <si>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</si>
  <si>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</si>
  <si>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</si>
  <si>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</si>
  <si>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</si>
  <si>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</si>
  <si>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</si>
  <si>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</si>
  <si>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</si>
  <si>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</si>
  <si>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</si>
  <si>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</si>
  <si>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</si>
  <si>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</si>
  <si>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</si>
  <si>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</si>
  <si>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</si>
  <si>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</si>
  <si>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</si>
  <si>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</si>
  <si>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</si>
  <si>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</si>
  <si>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</si>
  <si>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</si>
  <si>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</si>
  <si>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</si>
  <si>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</si>
  <si>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</si>
  <si>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</si>
  <si>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</si>
  <si>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</si>
  <si>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</si>
  <si>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</si>
  <si>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</si>
  <si>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</si>
  <si>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</si>
  <si>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</si>
  <si>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</si>
  <si>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</si>
  <si>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</si>
  <si>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</si>
  <si>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</si>
  <si>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</si>
  <si>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</si>
  <si>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</si>
  <si>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</si>
  <si>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</si>
  <si>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</si>
  <si>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</si>
  <si>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</si>
  <si>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</si>
  <si>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</si>
  <si>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</si>
  <si>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</si>
  <si>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</si>
  <si>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</si>
  <si>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</si>
  <si>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</si>
  <si>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</si>
  <si>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</si>
  <si>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</si>
  <si>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</si>
  <si>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</si>
  <si>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</si>
  <si>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</si>
  <si>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</si>
  <si>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</si>
  <si>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</si>
  <si>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</si>
  <si>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</si>
  <si>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</si>
  <si>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</si>
  <si>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</si>
  <si>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</si>
  <si>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</si>
  <si>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</si>
  <si>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</si>
  <si>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</si>
  <si>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</si>
  <si>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</si>
  <si>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</si>
  <si>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</si>
  <si>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</si>
  <si>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</si>
  <si>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</si>
  <si>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</si>
  <si>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</si>
  <si>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</si>
  <si>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</si>
  <si>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</si>
  <si>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</si>
  <si>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</si>
  <si>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</si>
  <si>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</si>
  <si>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</si>
  <si>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</si>
  <si>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</si>
  <si>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</si>
  <si>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</si>
  <si>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</si>
  <si>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</si>
  <si>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</si>
  <si>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</si>
  <si>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</si>
  <si>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</si>
  <si>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</si>
  <si>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</si>
  <si>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</si>
  <si>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</si>
  <si>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</si>
  <si>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</si>
  <si>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</si>
  <si>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</si>
  <si>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</si>
  <si>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</si>
  <si>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</si>
  <si>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</si>
  <si>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</si>
  <si>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</si>
  <si>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</si>
  <si>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</si>
  <si>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</si>
  <si>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</si>
  <si>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</si>
  <si>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</si>
  <si>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</si>
  <si>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</si>
  <si>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</si>
  <si>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</si>
  <si>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</si>
  <si>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</si>
  <si>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</si>
  <si>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</si>
  <si>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</si>
  <si>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</si>
  <si>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</si>
  <si>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</si>
  <si>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</si>
  <si>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</si>
  <si>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</si>
  <si>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</si>
  <si>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</si>
  <si>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</si>
  <si>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</si>
  <si>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</si>
  <si>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</si>
  <si>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</si>
  <si>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</si>
  <si>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</si>
  <si>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</si>
  <si>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</si>
  <si>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</si>
  <si>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</si>
  <si>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</si>
  <si>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</si>
  <si>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</si>
  <si>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</si>
  <si>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</si>
  <si>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</si>
  <si>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</si>
  <si>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</si>
  <si>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</si>
  <si>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</si>
  <si>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</si>
  <si>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</si>
  <si>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</si>
  <si>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</si>
  <si>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</si>
  <si>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</si>
  <si>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</si>
  <si>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</si>
  <si>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</si>
  <si>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</si>
  <si>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</si>
  <si>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</si>
  <si>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</si>
  <si>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</si>
  <si>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</si>
  <si>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</si>
  <si>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</si>
  <si>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</si>
  <si>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</si>
  <si>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</si>
  <si>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</si>
  <si>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</si>
  <si>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</si>
  <si>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</si>
  <si>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</si>
  <si>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</si>
  <si>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</si>
  <si>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</si>
  <si>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</si>
  <si>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</si>
  <si>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</si>
  <si>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</si>
  <si>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</si>
  <si>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</si>
  <si>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</si>
  <si>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</si>
  <si>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</si>
  <si>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</si>
  <si>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</si>
  <si>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</si>
  <si>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</si>
  <si>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</si>
  <si>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</si>
  <si>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</si>
  <si>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</si>
  <si>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</si>
  <si>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</si>
  <si>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</si>
  <si>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</si>
  <si>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</si>
  <si>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</si>
  <si>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</si>
  <si>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</si>
  <si>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</si>
  <si>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</si>
  <si>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</si>
  <si>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</si>
  <si>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</si>
  <si>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</si>
  <si>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</si>
  <si>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</si>
  <si>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</si>
  <si>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</si>
  <si>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</si>
  <si>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</si>
  <si>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</si>
  <si>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</si>
  <si>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</si>
  <si>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</si>
  <si>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</si>
  <si>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</si>
  <si>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</si>
  <si>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</si>
  <si>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</si>
  <si>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</si>
  <si>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</si>
  <si>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</si>
  <si>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</si>
  <si>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</si>
  <si>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</si>
  <si>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</si>
  <si>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</si>
  <si>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</si>
  <si>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</si>
  <si>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</si>
  <si>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</si>
  <si>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</si>
  <si>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</si>
  <si>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</si>
  <si>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</si>
  <si>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</si>
  <si>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</si>
  <si>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</si>
  <si>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</si>
  <si>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</si>
  <si>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</si>
  <si>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</si>
  <si>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</si>
  <si>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</si>
  <si>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</si>
  <si>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</si>
  <si>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</si>
  <si>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</si>
  <si>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</si>
  <si>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</si>
  <si>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</si>
  <si>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</si>
  <si>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</si>
  <si>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</si>
  <si>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</si>
  <si>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</si>
  <si>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</si>
  <si>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</si>
  <si>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</si>
  <si>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</si>
  <si>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</si>
  <si>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</si>
  <si>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</si>
  <si>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</si>
  <si>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</si>
  <si>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</si>
  <si>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</si>
  <si>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</si>
  <si>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</si>
  <si>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</si>
  <si>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</si>
  <si>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</si>
  <si>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</si>
  <si>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</si>
  <si>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</si>
  <si>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</si>
  <si>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</si>
  <si>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</si>
  <si>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</si>
  <si>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</si>
  <si>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</si>
  <si>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</si>
  <si>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</si>
  <si>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</si>
  <si>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</si>
  <si>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</si>
  <si>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</si>
  <si>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</si>
  <si>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</si>
  <si>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</si>
  <si>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</si>
  <si>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</si>
  <si>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</si>
  <si>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</si>
  <si>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</si>
  <si>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</si>
  <si>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</si>
  <si>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</si>
  <si>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</si>
  <si>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</si>
  <si>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</si>
  <si>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</si>
  <si>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</si>
  <si>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</si>
  <si>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</si>
  <si>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</si>
  <si>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</si>
  <si>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</si>
  <si>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</si>
  <si>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</si>
  <si>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</si>
  <si>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</si>
  <si>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</si>
  <si>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</si>
  <si>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</si>
  <si>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</si>
  <si>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</si>
  <si>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</si>
  <si>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</si>
  <si>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</si>
  <si>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</si>
  <si>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</si>
  <si>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</si>
  <si>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</si>
  <si>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</si>
  <si>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</si>
  <si>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</si>
  <si>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</si>
  <si>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</si>
  <si>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</si>
  <si>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</si>
  <si>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</si>
  <si>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</si>
  <si>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</si>
  <si>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</si>
  <si>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</si>
  <si>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</si>
  <si>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</si>
  <si>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</si>
  <si>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</si>
  <si>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</si>
  <si>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</si>
  <si>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</si>
  <si>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</si>
  <si>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</si>
  <si>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</si>
  <si>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</si>
  <si>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</si>
  <si>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</si>
  <si>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</si>
  <si>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</si>
  <si>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</si>
  <si>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</si>
  <si>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</si>
  <si>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</si>
  <si>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</si>
  <si>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</si>
  <si>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</si>
  <si>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</si>
  <si>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</si>
  <si>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</si>
  <si>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</si>
  <si>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</si>
  <si>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</si>
  <si>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</si>
  <si>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</si>
  <si>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</si>
  <si>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</si>
  <si>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</si>
  <si>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</si>
  <si>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</si>
  <si>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</si>
  <si>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</si>
  <si>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</si>
  <si>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</si>
  <si>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</si>
  <si>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</si>
  <si>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</si>
  <si>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</si>
  <si>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</si>
  <si>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</si>
  <si>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</si>
  <si>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</si>
  <si>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</si>
  <si>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</si>
  <si>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</si>
  <si>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</si>
  <si>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</si>
  <si>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</si>
  <si>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</si>
  <si>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</si>
  <si>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</si>
  <si>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</si>
  <si>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</si>
  <si>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</si>
  <si>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</si>
  <si>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</si>
  <si>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</si>
  <si>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</si>
  <si>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</si>
  <si>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</si>
  <si>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</si>
  <si>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</si>
  <si>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</si>
  <si>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</si>
  <si>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</si>
  <si>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</si>
  <si>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</si>
  <si>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</si>
  <si>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</si>
  <si>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</si>
  <si>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</si>
  <si>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</si>
  <si>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</si>
  <si>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</si>
  <si>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</si>
  <si>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</si>
  <si>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</si>
  <si>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</si>
  <si>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</si>
  <si>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</si>
  <si>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</si>
  <si>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</si>
  <si>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</si>
  <si>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</si>
  <si>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</si>
  <si>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</si>
  <si>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</si>
  <si>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</si>
  <si>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</si>
  <si>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</si>
  <si>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</si>
  <si>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</si>
  <si>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</si>
  <si>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</si>
  <si>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</si>
  <si>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</si>
  <si>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</si>
  <si>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</si>
  <si>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</si>
  <si>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</si>
  <si>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</si>
  <si>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</si>
  <si>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</si>
  <si>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</si>
  <si>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</si>
  <si>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</si>
  <si>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</si>
  <si>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</si>
  <si>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</si>
  <si>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</si>
  <si>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</si>
  <si>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</si>
  <si>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</si>
  <si>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</si>
  <si>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</si>
  <si>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</si>
  <si>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</si>
  <si>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</si>
  <si>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</si>
  <si>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</si>
  <si>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</si>
  <si>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</si>
  <si>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</si>
  <si>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</si>
  <si>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</si>
  <si>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</si>
  <si>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</si>
  <si>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</si>
  <si>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</si>
  <si>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</si>
  <si>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</si>
  <si>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</si>
  <si>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</si>
  <si>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</si>
  <si>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</si>
  <si>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</si>
  <si>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</si>
  <si>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</si>
  <si>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</si>
  <si>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</si>
  <si>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</si>
  <si>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</si>
  <si>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</si>
  <si>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</si>
  <si>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</si>
  <si>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</si>
  <si>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</si>
  <si>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</si>
  <si>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</si>
  <si>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</si>
  <si>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</si>
  <si>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</si>
  <si>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</si>
  <si>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</si>
  <si>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</si>
  <si>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</si>
  <si>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</si>
  <si>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</si>
  <si>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</si>
  <si>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</si>
  <si>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</si>
  <si>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</si>
  <si>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</si>
  <si>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</si>
  <si>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</si>
  <si>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</si>
  <si>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</si>
  <si>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</si>
  <si>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</si>
  <si>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</si>
  <si>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</si>
  <si>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</si>
  <si>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</si>
  <si>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</si>
  <si>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</si>
  <si>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</si>
  <si>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</si>
  <si>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</si>
  <si>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</si>
  <si>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</si>
  <si>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</si>
  <si>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</si>
  <si>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</si>
  <si>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</si>
  <si>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</si>
  <si>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</si>
  <si>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</si>
  <si>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</si>
  <si>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</si>
  <si>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</si>
  <si>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</si>
  <si>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</si>
  <si>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</si>
  <si>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</si>
  <si>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</si>
  <si>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</si>
  <si>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</si>
  <si>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</si>
  <si>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</si>
  <si>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</si>
  <si>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</si>
  <si>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</si>
  <si>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</si>
  <si>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</si>
  <si>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</si>
  <si>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</si>
  <si>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</si>
  <si>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</si>
  <si>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</si>
  <si>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</si>
  <si>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</si>
  <si>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</si>
  <si>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</si>
  <si>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</si>
  <si>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</si>
  <si>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</si>
  <si>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</si>
  <si>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</si>
  <si>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</si>
  <si>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</si>
  <si>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</si>
  <si>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</si>
  <si>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</si>
  <si>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</si>
  <si>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</si>
  <si>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</si>
  <si>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</si>
  <si>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</si>
  <si>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</si>
  <si>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</si>
  <si>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</si>
  <si>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</si>
  <si>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</si>
  <si>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</si>
  <si>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</si>
  <si>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</si>
  <si>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</si>
  <si>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</si>
  <si>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</si>
  <si>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</si>
  <si>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</si>
  <si>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</si>
  <si>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</si>
  <si>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</si>
  <si>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</si>
  <si>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</si>
  <si>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</si>
  <si>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</si>
  <si>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</si>
  <si>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</si>
  <si>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</si>
  <si>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</si>
  <si>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</si>
  <si>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</si>
  <si>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</si>
  <si>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</si>
  <si>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</si>
  <si>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</si>
  <si>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</si>
  <si>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</si>
  <si>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</si>
  <si>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</si>
  <si>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</si>
  <si>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</si>
  <si>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</si>
  <si>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</si>
  <si>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</si>
  <si>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</si>
  <si>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</si>
  <si>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</si>
  <si>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</si>
  <si>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</si>
  <si>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</si>
  <si>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</si>
  <si>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</si>
  <si>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</si>
  <si>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</si>
  <si>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</si>
  <si>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</si>
  <si>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</si>
  <si>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</si>
  <si>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</si>
  <si>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</si>
  <si>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</si>
  <si>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</si>
  <si>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</si>
  <si>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</si>
  <si>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</si>
  <si>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</si>
  <si>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</si>
  <si>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</si>
  <si>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</si>
  <si>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</si>
  <si>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</si>
  <si>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</si>
  <si>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</si>
  <si>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</si>
  <si>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</si>
  <si>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</si>
  <si>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</si>
  <si>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</si>
  <si>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</si>
  <si>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</si>
  <si>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</si>
  <si>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</si>
  <si>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</si>
  <si>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</si>
  <si>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</si>
  <si>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</si>
  <si>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</si>
  <si>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</si>
  <si>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</si>
  <si>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</si>
  <si>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</si>
  <si>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</si>
  <si>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</si>
  <si>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</si>
  <si>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</si>
  <si>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</si>
  <si>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</si>
  <si>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</si>
  <si>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</si>
  <si>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</si>
  <si>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</si>
  <si>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</si>
  <si>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</si>
  <si>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</si>
  <si>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</si>
  <si>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</si>
  <si>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</si>
  <si>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</si>
  <si>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</si>
  <si>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</si>
  <si>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</si>
  <si>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</si>
  <si>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</si>
  <si>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</si>
  <si>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</si>
  <si>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</si>
  <si>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</si>
  <si>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</si>
  <si>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</si>
  <si>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</si>
  <si>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</si>
  <si>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</si>
  <si>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</si>
  <si>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</si>
  <si>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</si>
  <si>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</si>
  <si>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</si>
  <si>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</si>
  <si>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</si>
  <si>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</si>
  <si>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</si>
  <si>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</si>
  <si>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</si>
  <si>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</si>
  <si>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</si>
  <si>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</si>
  <si>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</si>
  <si>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</si>
  <si>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</si>
  <si>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</si>
  <si>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</si>
  <si>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</si>
  <si>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</si>
  <si>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</si>
  <si>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</si>
  <si>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</si>
  <si>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</si>
  <si>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</si>
  <si>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</si>
  <si>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</si>
  <si>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</si>
  <si>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</si>
  <si>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</si>
  <si>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</si>
  <si>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</si>
  <si>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</si>
  <si>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</si>
  <si>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</si>
  <si>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</si>
  <si>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</si>
  <si>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</si>
  <si>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</si>
  <si>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</si>
  <si>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</si>
  <si>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</si>
  <si>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</si>
  <si>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</si>
  <si>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</si>
  <si>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</si>
  <si>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</si>
  <si>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</si>
  <si>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</si>
  <si>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</si>
  <si>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</si>
  <si>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</si>
  <si>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</si>
  <si>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</si>
  <si>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</si>
  <si>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</si>
  <si>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</si>
  <si>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</si>
  <si>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</si>
  <si>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</si>
  <si>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</si>
  <si>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</si>
  <si>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</si>
  <si>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</si>
  <si>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</si>
  <si>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</si>
  <si>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</si>
  <si>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</si>
  <si>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</si>
  <si>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</si>
  <si>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</si>
  <si>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</si>
  <si>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</si>
  <si>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</si>
  <si>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</si>
  <si>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</si>
  <si>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</si>
  <si>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</si>
  <si>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</si>
  <si>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</si>
  <si>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</si>
  <si>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</si>
  <si>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</si>
  <si>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</si>
  <si>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</si>
  <si>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</si>
  <si>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</si>
  <si>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</si>
  <si>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</si>
  <si>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</si>
  <si>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</si>
  <si>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</si>
  <si>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</si>
  <si>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</si>
  <si>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</si>
  <si>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</si>
  <si>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</si>
  <si>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</si>
  <si>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</si>
  <si>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</si>
  <si>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</si>
  <si>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</si>
  <si>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</si>
  <si>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</si>
  <si>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</si>
  <si>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</si>
  <si>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</si>
  <si>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</si>
  <si>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</si>
  <si>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</si>
  <si>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</si>
  <si>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</si>
  <si>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</si>
  <si>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</si>
  <si>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</si>
  <si>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</si>
  <si>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</si>
  <si>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</si>
  <si>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</si>
  <si>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</si>
  <si>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</si>
  <si>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</si>
  <si>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</si>
  <si>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</si>
  <si>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</si>
  <si>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</si>
  <si>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</si>
  <si>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</si>
  <si>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</si>
  <si>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</si>
  <si>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</si>
  <si>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</si>
  <si>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</si>
  <si>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</si>
  <si>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</si>
  <si>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</si>
  <si>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</si>
  <si>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</si>
  <si>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</si>
  <si>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</si>
  <si>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</si>
  <si>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</si>
  <si>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</si>
  <si>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</si>
  <si>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</si>
  <si>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</si>
  <si>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</si>
  <si>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</si>
  <si>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</si>
  <si>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</si>
  <si>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</si>
  <si>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</si>
  <si>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</si>
  <si>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</si>
  <si>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</si>
  <si>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</si>
  <si>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</si>
  <si>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</si>
  <si>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</si>
  <si>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</si>
  <si>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</si>
  <si>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</si>
  <si>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</si>
  <si>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</si>
  <si>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</si>
  <si>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</si>
  <si>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</si>
  <si>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</si>
  <si>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</si>
  <si>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</si>
  <si>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</si>
  <si>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</si>
  <si>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</si>
  <si>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</si>
  <si>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</si>
  <si>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</si>
  <si>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</si>
  <si>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</si>
  <si>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</si>
  <si>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</si>
  <si>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</si>
  <si>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</si>
  <si>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</si>
  <si>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</si>
  <si>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</si>
  <si>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</si>
  <si>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</si>
  <si>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</si>
  <si>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</si>
  <si>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</si>
  <si>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</si>
  <si>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</si>
  <si>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</si>
  <si>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</si>
  <si>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</si>
  <si>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</si>
  <si>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</si>
  <si>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</si>
  <si>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</si>
  <si>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</si>
  <si>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</si>
  <si>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</si>
  <si>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</si>
  <si>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</si>
  <si>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</si>
  <si>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</si>
  <si>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</si>
  <si>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</si>
  <si>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</si>
  <si>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</si>
  <si>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</si>
  <si>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</si>
  <si>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</si>
  <si>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</si>
  <si>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</si>
  <si>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</si>
  <si>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</si>
  <si>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</si>
  <si>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</si>
  <si>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</si>
  <si>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</si>
  <si>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</si>
  <si>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</si>
  <si>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</si>
  <si>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</si>
  <si>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</si>
  <si>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</si>
  <si>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</si>
  <si>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</si>
  <si>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</si>
  <si>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</si>
  <si>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</si>
  <si>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</si>
  <si>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</si>
  <si>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</si>
  <si>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</si>
  <si>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</si>
  <si>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</si>
  <si>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</si>
  <si>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</si>
  <si>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</si>
  <si>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</si>
  <si>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</si>
  <si>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</si>
  <si>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</si>
  <si>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</si>
  <si>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</si>
  <si>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</si>
  <si>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</si>
  <si>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</si>
  <si>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</si>
  <si>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</si>
  <si>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</si>
  <si>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</si>
  <si>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</si>
  <si>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</si>
  <si>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</si>
  <si>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</si>
  <si>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</si>
  <si>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</si>
  <si>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</si>
  <si>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</si>
  <si>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</si>
  <si>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</si>
  <si>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</si>
  <si>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</si>
  <si>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</si>
  <si>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</si>
  <si>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</si>
  <si>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</si>
  <si>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</si>
  <si>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</si>
  <si>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</si>
  <si>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</si>
  <si>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</si>
  <si>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</si>
  <si>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</si>
  <si>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</si>
  <si>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</si>
  <si>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</si>
  <si>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</si>
  <si>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</si>
  <si>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</si>
  <si>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</si>
  <si>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</si>
  <si>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</si>
  <si>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</si>
  <si>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</si>
  <si>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</si>
  <si>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</si>
  <si>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</si>
  <si>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</si>
  <si>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</si>
  <si>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</si>
  <si>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</si>
  <si>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</si>
  <si>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</si>
  <si>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</si>
  <si>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</si>
  <si>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</si>
  <si>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</si>
  <si>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</si>
  <si>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</si>
  <si>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</si>
  <si>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</si>
  <si>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</si>
  <si>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</si>
  <si>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</si>
  <si>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</si>
  <si>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</si>
  <si>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</si>
  <si>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</si>
  <si>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</si>
  <si>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</si>
  <si>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</si>
  <si>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</si>
  <si>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</si>
  <si>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</si>
  <si>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</si>
  <si>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</si>
  <si>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</si>
  <si>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</si>
  <si>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</si>
  <si>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</si>
  <si>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</si>
  <si>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</si>
  <si>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</si>
  <si>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</si>
  <si>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</si>
  <si>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</si>
  <si>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</si>
  <si>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</si>
  <si>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</si>
  <si>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</si>
  <si>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</si>
  <si>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</si>
  <si>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</si>
  <si>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</si>
  <si>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</si>
  <si>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</si>
  <si>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</si>
  <si>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</si>
  <si>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</si>
  <si>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</si>
  <si>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</si>
  <si>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</si>
  <si>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</si>
  <si>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</si>
  <si>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</si>
  <si>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</si>
  <si>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</si>
  <si>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</si>
  <si>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</si>
  <si>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</si>
  <si>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</si>
  <si>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</si>
  <si>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</si>
  <si>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</si>
  <si>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</si>
  <si>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</si>
  <si>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</si>
  <si>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</si>
  <si>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</si>
  <si>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</si>
  <si>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</si>
  <si>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</si>
  <si>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</si>
  <si>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</si>
  <si>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</si>
  <si>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</si>
  <si>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</si>
  <si>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</si>
  <si>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</si>
  <si>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</si>
  <si>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</si>
  <si>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</si>
  <si>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</si>
  <si>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</si>
  <si>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</si>
  <si>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</si>
  <si>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</si>
  <si>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</si>
  <si>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</si>
  <si>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</si>
  <si>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</si>
  <si>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</si>
  <si>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</si>
  <si>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</si>
  <si>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</si>
  <si>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</si>
  <si>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</si>
  <si>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</si>
  <si>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</si>
  <si>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</si>
  <si>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</si>
  <si>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</si>
  <si>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</si>
  <si>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</si>
  <si>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</si>
  <si>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</si>
  <si>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</si>
  <si>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</si>
  <si>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</si>
  <si>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</si>
  <si>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</si>
  <si>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</si>
  <si>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</si>
  <si>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</si>
  <si>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</si>
  <si>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</si>
  <si>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</si>
  <si>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</si>
  <si>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</si>
  <si>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</si>
  <si>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</si>
  <si>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</si>
  <si>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</si>
  <si>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</si>
  <si>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</si>
  <si>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</si>
  <si>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</si>
  <si>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</si>
  <si>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</si>
  <si>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</si>
  <si>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</si>
  <si>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</si>
  <si>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</si>
  <si>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</si>
  <si>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</si>
  <si>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</si>
  <si>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</si>
  <si>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</si>
  <si>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</si>
  <si>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</si>
  <si>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</si>
  <si>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</si>
  <si>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</si>
  <si>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</si>
  <si>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</si>
  <si>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</si>
  <si>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</si>
  <si>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</si>
  <si>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</si>
  <si>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</si>
  <si>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</si>
  <si>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</si>
  <si>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</si>
  <si>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</si>
  <si>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</si>
  <si>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</si>
  <si>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</si>
  <si>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</si>
  <si>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</si>
  <si>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</si>
  <si>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</si>
  <si>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</si>
  <si>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</si>
  <si>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</si>
  <si>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</si>
  <si>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</si>
  <si>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</si>
  <si>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</si>
  <si>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</si>
  <si>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</si>
  <si>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</si>
  <si>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</si>
  <si>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</si>
  <si>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</si>
  <si>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</si>
  <si>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</si>
  <si>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</si>
  <si>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</si>
  <si>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</si>
  <si>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</si>
  <si>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</si>
  <si>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</si>
  <si>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</si>
  <si>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</si>
  <si>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</si>
  <si>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</si>
  <si>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</si>
  <si>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</si>
  <si>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</si>
  <si>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</si>
  <si>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</si>
  <si>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</si>
  <si>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</si>
  <si>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</si>
  <si>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</si>
  <si>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</si>
  <si>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</si>
  <si>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</si>
  <si>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</si>
  <si>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</si>
  <si>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</si>
  <si>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</si>
  <si>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</si>
  <si>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</si>
  <si>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</si>
  <si>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</si>
  <si>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</si>
  <si>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</si>
  <si>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</si>
  <si>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</si>
  <si>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</si>
  <si>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</si>
  <si>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</si>
  <si>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</si>
  <si>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</si>
  <si>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</si>
  <si>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</si>
  <si>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</si>
  <si>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</si>
  <si>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</si>
  <si>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</si>
  <si>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</si>
  <si>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</si>
  <si>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</si>
  <si>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</si>
  <si>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</si>
  <si>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</si>
  <si>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</si>
  <si>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</si>
  <si>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</si>
  <si>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</si>
  <si>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</si>
  <si>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</si>
  <si>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</si>
  <si>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</si>
  <si>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</si>
  <si>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</si>
  <si>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</si>
  <si>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</si>
  <si>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</si>
  <si>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</si>
  <si>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</si>
  <si>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</si>
  <si>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</si>
  <si>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</si>
  <si>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</si>
  <si>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</si>
  <si>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</si>
  <si>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</si>
  <si>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</si>
  <si>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</si>
  <si>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</si>
  <si>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</si>
  <si>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</si>
  <si>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</si>
  <si>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</si>
  <si>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</si>
  <si>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</si>
  <si>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</si>
  <si>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</si>
  <si>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</si>
  <si>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</si>
  <si>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</si>
  <si>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</si>
  <si>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</si>
  <si>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</si>
  <si>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</si>
  <si>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</si>
  <si>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</si>
  <si>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</si>
  <si>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</si>
  <si>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</si>
  <si>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</si>
  <si>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</si>
  <si>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</si>
  <si>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</si>
  <si>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</si>
  <si>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</si>
  <si>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</si>
  <si>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</si>
  <si>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</si>
  <si>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</si>
  <si>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</si>
  <si>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</si>
  <si>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</si>
  <si>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</si>
  <si>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</si>
  <si>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</si>
  <si>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</si>
  <si>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</si>
  <si>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</si>
  <si>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</si>
  <si>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</si>
  <si>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</si>
  <si>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</si>
  <si>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</si>
  <si>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</si>
  <si>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</si>
  <si>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</si>
  <si>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</si>
  <si>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</si>
  <si>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</si>
  <si>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</si>
  <si>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</si>
  <si>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</si>
  <si>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</si>
  <si>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</si>
  <si>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</si>
  <si>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</si>
  <si>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</si>
  <si>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</si>
  <si>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</si>
  <si>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</si>
  <si>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</si>
  <si>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</si>
  <si>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</si>
  <si>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</si>
  <si>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</si>
  <si>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</si>
  <si>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</si>
  <si>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</si>
  <si>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</si>
  <si>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</si>
  <si>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</si>
  <si>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</si>
  <si>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</si>
  <si>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</si>
  <si>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</si>
  <si>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</si>
  <si>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</si>
  <si>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</si>
  <si>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</si>
  <si>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</si>
  <si>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</si>
  <si>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</si>
  <si>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</si>
  <si>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</si>
  <si>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</si>
  <si>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</si>
  <si>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</si>
  <si>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</si>
  <si>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</si>
  <si>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</si>
  <si>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</si>
  <si>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</si>
  <si>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</si>
  <si>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</si>
  <si>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</si>
  <si>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</si>
  <si>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</si>
  <si>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</si>
  <si>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</si>
  <si>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</si>
  <si>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</si>
  <si>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</si>
  <si>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</si>
  <si>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</si>
  <si>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</si>
  <si>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</si>
  <si>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</si>
  <si>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</si>
  <si>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</si>
  <si>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</si>
  <si>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</si>
  <si>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</si>
  <si>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</si>
  <si>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</si>
  <si>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</si>
  <si>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</si>
  <si>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</si>
  <si>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</si>
  <si>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</si>
  <si>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</si>
  <si>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</si>
  <si>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</si>
  <si>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</si>
  <si>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</si>
  <si>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</si>
  <si>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</si>
  <si>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</si>
  <si>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</si>
  <si>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</si>
  <si>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</si>
  <si>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</si>
  <si>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</si>
  <si>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</si>
  <si>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</si>
  <si>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</si>
  <si>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</si>
  <si>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</si>
  <si>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</si>
  <si>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</si>
  <si>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</si>
  <si>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</si>
  <si>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</si>
  <si>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</si>
  <si>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</si>
  <si>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</si>
  <si>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</si>
  <si>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</si>
  <si>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</si>
  <si>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</si>
  <si>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</si>
  <si>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</si>
  <si>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</si>
  <si>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</si>
  <si>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</si>
  <si>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</si>
  <si>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</si>
  <si>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</si>
  <si>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</si>
  <si>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</si>
  <si>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</si>
  <si>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</si>
  <si>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</si>
  <si>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</si>
  <si>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</si>
  <si>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</si>
  <si>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</si>
  <si>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</si>
  <si>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</si>
  <si>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</si>
  <si>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</si>
  <si>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</si>
  <si>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</si>
  <si>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</si>
  <si>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</si>
  <si>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</si>
  <si>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</si>
  <si>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</si>
  <si>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</si>
  <si>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</si>
  <si>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</si>
  <si>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</si>
  <si>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</si>
  <si>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</si>
  <si>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</si>
  <si>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</si>
  <si>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</si>
  <si>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</si>
  <si>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</si>
  <si>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</si>
  <si>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</si>
  <si>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</si>
  <si>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</si>
  <si>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</si>
  <si>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</si>
  <si>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</si>
  <si>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</si>
  <si>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</si>
  <si>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</si>
  <si>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</si>
  <si>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</si>
  <si>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</si>
  <si>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</si>
  <si>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</si>
  <si>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</si>
  <si>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</si>
  <si>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</si>
  <si>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</si>
  <si>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</si>
  <si>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</si>
  <si>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</si>
  <si>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</si>
  <si>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</si>
  <si>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</si>
  <si>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</si>
  <si>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</si>
  <si>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</si>
  <si>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</si>
  <si>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</si>
  <si>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</si>
  <si>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</si>
  <si>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</si>
  <si>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</si>
  <si>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</si>
  <si>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</si>
  <si>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</si>
  <si>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</si>
  <si>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</si>
  <si>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</si>
  <si>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</si>
  <si>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</si>
  <si>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</si>
  <si>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</si>
  <si>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</si>
  <si>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</si>
  <si>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</si>
  <si>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</si>
  <si>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</si>
  <si>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</si>
  <si>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</si>
  <si>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</si>
  <si>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</si>
  <si>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</si>
  <si>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</si>
  <si>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</si>
  <si>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</si>
  <si>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</si>
  <si>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</si>
  <si>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</si>
  <si>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</si>
  <si>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</si>
  <si>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</si>
  <si>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</si>
  <si>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</si>
  <si>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</si>
  <si>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</si>
  <si>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</si>
  <si>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</si>
  <si>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</si>
  <si>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</si>
  <si>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</si>
  <si>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</si>
  <si>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</si>
  <si>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</si>
  <si>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</si>
  <si>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</si>
  <si>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</si>
  <si>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</si>
  <si>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</si>
  <si>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</si>
  <si>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</si>
  <si>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</si>
  <si>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</si>
  <si>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</si>
  <si>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</si>
  <si>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</si>
  <si>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</si>
  <si>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</si>
  <si>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</si>
  <si>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</si>
  <si>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</si>
  <si>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</si>
  <si>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</si>
  <si>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</si>
  <si>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</si>
  <si>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</si>
  <si>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</si>
  <si>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</si>
  <si>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</si>
  <si>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</si>
  <si>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</si>
  <si>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</si>
  <si>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</si>
  <si>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</si>
  <si>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</si>
  <si>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</si>
  <si>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</si>
  <si>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</si>
  <si>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</si>
  <si>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</si>
  <si>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</si>
  <si>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</si>
  <si>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</si>
  <si>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</si>
  <si>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</si>
  <si>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</si>
  <si>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</si>
  <si>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</si>
  <si>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</si>
  <si>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</si>
  <si>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</si>
  <si>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</si>
  <si>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</si>
  <si>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</si>
  <si>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</si>
  <si>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</si>
  <si>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</si>
  <si>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</si>
  <si>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</si>
  <si>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</si>
  <si>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</si>
  <si>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</si>
  <si>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</si>
  <si>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</si>
  <si>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</si>
  <si>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</si>
  <si>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</si>
  <si>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</si>
  <si>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</si>
  <si>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</si>
  <si>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</si>
  <si>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</si>
  <si>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</si>
  <si>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</si>
  <si>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</si>
  <si>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</si>
  <si>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</si>
  <si>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</si>
  <si>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</si>
  <si>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</si>
  <si>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</si>
  <si>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</si>
  <si>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</si>
  <si>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</si>
  <si>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</si>
  <si>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</si>
  <si>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</si>
  <si>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</si>
  <si>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</si>
  <si>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</si>
  <si>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</si>
  <si>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</si>
  <si>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</si>
  <si>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</si>
  <si>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</si>
  <si>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</si>
  <si>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</si>
  <si>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</si>
  <si>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</si>
  <si>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</si>
  <si>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</si>
  <si>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</si>
  <si>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</si>
  <si>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</si>
  <si>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</si>
  <si>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</si>
  <si>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</si>
  <si>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</si>
  <si>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</si>
  <si>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</si>
  <si>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</si>
  <si>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</si>
  <si>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</si>
  <si>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</si>
  <si>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</si>
  <si>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</si>
  <si>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</si>
  <si>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</si>
  <si>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</si>
  <si>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</si>
  <si>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</si>
  <si>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</si>
  <si>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</si>
  <si>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</si>
  <si>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</si>
  <si>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</si>
  <si>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</si>
  <si>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</si>
  <si>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</si>
  <si>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</si>
  <si>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</si>
  <si>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</si>
  <si>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</si>
  <si>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</si>
  <si>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</si>
  <si>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</si>
  <si>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</si>
  <si>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</si>
  <si>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</si>
  <si>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</si>
  <si>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</si>
  <si>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</si>
  <si>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</si>
  <si>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</si>
  <si>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</si>
  <si>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</si>
  <si>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</si>
  <si>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</si>
  <si>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</si>
  <si>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</si>
  <si>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</si>
  <si>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</si>
  <si>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</si>
  <si>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</si>
  <si>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</si>
  <si>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</si>
  <si>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</si>
  <si>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</si>
  <si>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</si>
  <si>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</si>
  <si>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</si>
  <si>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</si>
  <si>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</si>
  <si>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</si>
  <si>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</si>
  <si>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</si>
  <si>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</si>
  <si>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</si>
  <si>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</si>
  <si>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</si>
  <si>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</si>
  <si>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</si>
  <si>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</si>
  <si>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</si>
  <si>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</si>
  <si>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</si>
  <si>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</si>
  <si>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</si>
  <si>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</si>
  <si>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</si>
  <si>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</si>
  <si>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</si>
  <si>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</si>
  <si>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</si>
  <si>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</si>
  <si>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</si>
  <si>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</si>
  <si>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</si>
  <si>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</si>
  <si>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</si>
  <si>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</si>
  <si>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</si>
  <si>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</si>
  <si>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</si>
  <si>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</si>
  <si>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</si>
  <si>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</si>
  <si>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</si>
  <si>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</si>
  <si>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</si>
  <si>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</si>
  <si>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</si>
  <si>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</si>
  <si>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</si>
  <si>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</si>
  <si>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</si>
  <si>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</si>
  <si>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</si>
  <si>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</si>
  <si>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</si>
  <si>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</si>
  <si>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</si>
  <si>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</si>
  <si>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</si>
  <si>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</si>
  <si>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</si>
  <si>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</si>
  <si>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</si>
  <si>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</si>
  <si>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</si>
  <si>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</si>
  <si>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</si>
  <si>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</si>
  <si>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</si>
  <si>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</si>
  <si>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</si>
  <si>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</si>
  <si>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</si>
  <si>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</si>
  <si>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</si>
  <si>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</si>
  <si>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</si>
  <si>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</si>
  <si>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</si>
  <si>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</si>
  <si>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</si>
  <si>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</si>
  <si>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</si>
  <si>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</si>
  <si>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</si>
  <si>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</si>
  <si>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</si>
  <si>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</si>
  <si>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</si>
  <si>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</si>
  <si>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</si>
  <si>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</si>
  <si>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</si>
  <si>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</si>
  <si>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</si>
  <si>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</si>
  <si>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</si>
  <si>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</si>
  <si>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</si>
  <si>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</si>
  <si>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</si>
  <si>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</si>
  <si>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</si>
  <si>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</si>
  <si>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</si>
  <si>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</si>
  <si>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</si>
  <si>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</si>
  <si>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</si>
  <si>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</si>
  <si>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</si>
  <si>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</si>
  <si>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</si>
  <si>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</si>
  <si>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</si>
  <si>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</si>
  <si>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</si>
  <si>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</si>
  <si>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</si>
  <si>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</si>
  <si>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</si>
  <si>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</si>
  <si>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</si>
  <si>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</si>
  <si>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</si>
  <si>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</si>
  <si>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</si>
  <si>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</si>
  <si>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</si>
  <si>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</si>
  <si>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</si>
  <si>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</si>
  <si>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</si>
  <si>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</si>
  <si>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</si>
  <si>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</si>
  <si>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</si>
  <si>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</si>
  <si>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</si>
  <si>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</si>
  <si>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</si>
  <si>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</si>
  <si>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</si>
  <si>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</si>
  <si>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</si>
  <si>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</si>
  <si>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</si>
  <si>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</si>
  <si>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</si>
  <si>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</si>
  <si>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</si>
  <si>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</si>
  <si>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</si>
  <si>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</si>
  <si>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</si>
  <si>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</si>
  <si>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</si>
  <si>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</si>
  <si>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</si>
  <si>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</si>
  <si>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</si>
  <si>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</si>
  <si>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</si>
  <si>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</si>
  <si>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</si>
  <si>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</si>
  <si>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</si>
  <si>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</si>
  <si>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</si>
  <si>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</si>
  <si>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</si>
  <si>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</si>
  <si>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</si>
  <si>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</si>
  <si>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</si>
  <si>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</si>
  <si>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</si>
  <si>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</si>
  <si>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</si>
  <si>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</si>
  <si>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</si>
  <si>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</si>
  <si>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</si>
  <si>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</si>
  <si>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</si>
  <si>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</si>
  <si>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</si>
  <si>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</si>
  <si>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</si>
  <si>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</si>
  <si>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</si>
  <si>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</si>
  <si>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</si>
  <si>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</si>
  <si>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</si>
  <si>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</si>
  <si>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</si>
  <si>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</si>
  <si>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</si>
  <si>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</si>
  <si>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</si>
  <si>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</si>
  <si>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Percentage funded</t>
  </si>
  <si>
    <t>Parent Category</t>
  </si>
  <si>
    <t>Sub-category</t>
  </si>
  <si>
    <t>Row Labels</t>
  </si>
  <si>
    <t>Grand Total</t>
  </si>
  <si>
    <t>Count of outcome</t>
  </si>
  <si>
    <t>Column Labels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</si>
  <si>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</si>
  <si>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</si>
  <si>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</si>
  <si>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</si>
  <si>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</si>
  <si>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</si>
  <si>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</si>
  <si>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</si>
  <si>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</si>
  <si>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(All)</t>
  </si>
  <si>
    <t>Goal</t>
  </si>
  <si>
    <t>Number Successful</t>
  </si>
  <si>
    <t>Number Canceled</t>
  </si>
  <si>
    <t>Total Projects</t>
  </si>
  <si>
    <t>Percentage Successful</t>
  </si>
  <si>
    <t>Percentage Failed</t>
  </si>
  <si>
    <t>Percentage Canceled</t>
  </si>
  <si>
    <t>1000 to 4999</t>
  </si>
  <si>
    <t>5000 to 9999</t>
  </si>
  <si>
    <t>10000 to 14999</t>
  </si>
  <si>
    <t>15000 to 19999</t>
  </si>
  <si>
    <t>20000 to 24999</t>
  </si>
  <si>
    <t>35000 to 39999</t>
  </si>
  <si>
    <t>Number Failed</t>
  </si>
  <si>
    <t>Less Than 1000</t>
  </si>
  <si>
    <t>25000 to 29999</t>
  </si>
  <si>
    <t>30000 to 34999</t>
  </si>
  <si>
    <t>45000 to 49999</t>
  </si>
  <si>
    <t>Greater than or equal to 50000</t>
  </si>
  <si>
    <t>40000 to 44999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</si>
</sst>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7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9" fontId="0" fillId="0" borderId="0" xfId="42" applyFont="1"/>
    <xf numFmtId="0" fontId="0" fillId="0" borderId="0" xfId="0" pivotButton="1"/>
    <xf numFmtId="0" fontId="0" fillId="0" borderId="0" xfId="0" applyAlignment="1">
      <alignment horizontal="left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2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strike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strike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strike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strike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[assignment 1.xlsm]Sheet2!PivotTable2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Sheet2!$B$3:$B$4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DB-4B13-BB70-C24B739F371E}"/>
            </c:ext>
          </c:extLst>
        </c:ser>
        <c:ser>
          <c:idx val="1"/>
          <c:order val="1"/>
          <c:tx>
            <c:strRef>
              <c:f>Sheet2!$C$3:$C$4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DB-4B13-BB70-C24B739F371E}"/>
            </c:ext>
          </c:extLst>
        </c:ser>
        <c:ser>
          <c:idx val="2"/>
          <c:order val="2"/>
          <c:tx>
            <c:strRef>
              <c:f>Sheet2!$D$3:$D$4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DB-4B13-BB70-C24B739F371E}"/>
            </c:ext>
          </c:extLst>
        </c:ser>
        <c:ser>
          <c:idx val="3"/>
          <c:order val="3"/>
          <c:tx>
            <c:strRef>
              <c:f>Sheet2!$E$3:$E$4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DB-4B13-BB70-C24B739F3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52642144"/>
        <c:axId val="338100160"/>
      </c:barChart>
      <c:catAx>
        <c:axId val="175264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100160"/>
        <c:crosses val="autoZero"/>
        <c:auto val="1"/>
        <c:lblAlgn val="ctr"/>
        <c:lblOffset val="100"/>
        <c:noMultiLvlLbl val="0"/>
      </c:catAx>
      <c:valAx>
        <c:axId val="33810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2642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Sheet3!$B$1</c:f>
              <c:strCache>
                <c:ptCount val="1"/>
                <c:pt idx="0">
                  <c:v>Number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Sheet3!$A$2:$A$13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Sheet3!$B$2:$B$13</c:f>
              <c:numCache>
                <c:formatCode>General</c:formatCode>
                <c:ptCount val="12"/>
                <c:pt idx="0">
                  <c:v>30</c:v>
                </c:pt>
                <c:pt idx="1">
                  <c:v>191</c:v>
                </c:pt>
                <c:pt idx="2">
                  <c:v>164</c:v>
                </c:pt>
                <c:pt idx="3">
                  <c:v>4</c:v>
                </c:pt>
                <c:pt idx="4">
                  <c:v>10</c:v>
                </c:pt>
                <c:pt idx="5">
                  <c:v>7</c:v>
                </c:pt>
                <c:pt idx="6">
                  <c:v>11</c:v>
                </c:pt>
                <c:pt idx="7">
                  <c:v>7</c:v>
                </c:pt>
                <c:pt idx="8">
                  <c:v>8</c:v>
                </c:pt>
                <c:pt idx="9">
                  <c:v>11</c:v>
                </c:pt>
                <c:pt idx="10">
                  <c:v>8</c:v>
                </c:pt>
                <c:pt idx="11">
                  <c:v>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F-4EF8-B8AE-751CE1CF24E4}"/>
            </c:ext>
          </c:extLst>
        </c:ser>
        <c:ser>
          <c:idx val="1"/>
          <c:order val="1"/>
          <c:tx>
            <c:strRef>
              <c:f>Sheet3!$C$1</c:f>
              <c:strCache>
                <c:ptCount val="1"/>
                <c:pt idx="0">
                  <c:v>Number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Sheet3!$A$2:$A$13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Sheet3!$C$2:$C$13</c:f>
              <c:numCache>
                <c:formatCode>General</c:formatCode>
                <c:ptCount val="12"/>
                <c:pt idx="0">
                  <c:v>20</c:v>
                </c:pt>
                <c:pt idx="1">
                  <c:v>38</c:v>
                </c:pt>
                <c:pt idx="2">
                  <c:v>126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4F-4EF8-B8AE-751CE1CF24E4}"/>
            </c:ext>
          </c:extLst>
        </c:ser>
        <c:ser>
          <c:idx val="2"/>
          <c:order val="2"/>
          <c:tx>
            <c:strRef>
              <c:f>Sheet3!$D$1</c:f>
              <c:strCache>
                <c:ptCount val="1"/>
                <c:pt idx="0">
                  <c:v>Number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Sheet3!$A$2:$A$13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Sheet3!$D$2:$D$13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4F-4EF8-B8AE-751CE1CF24E4}"/>
            </c:ext>
          </c:extLst>
        </c:ser>
        <c:ser>
          <c:idx val="3"/>
          <c:order val="3"/>
          <c:tx>
            <c:strRef>
              <c:f>Sheet3!$E$1</c:f>
              <c:strCache>
                <c:ptCount val="1"/>
                <c:pt idx="0">
                  <c:v>Total Projects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Sheet3!$A$2:$A$13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Sheet3!$E$2:$E$13</c:f>
              <c:numCache>
                <c:formatCode>General</c:formatCode>
                <c:ptCount val="12"/>
                <c:pt idx="0">
                  <c:v>51</c:v>
                </c:pt>
                <c:pt idx="1">
                  <c:v>231</c:v>
                </c:pt>
                <c:pt idx="2">
                  <c:v>315</c:v>
                </c:pt>
                <c:pt idx="3">
                  <c:v>9</c:v>
                </c:pt>
                <c:pt idx="4">
                  <c:v>10</c:v>
                </c:pt>
                <c:pt idx="5">
                  <c:v>7</c:v>
                </c:pt>
                <c:pt idx="6">
                  <c:v>14</c:v>
                </c:pt>
                <c:pt idx="7">
                  <c:v>7</c:v>
                </c:pt>
                <c:pt idx="8">
                  <c:v>12</c:v>
                </c:pt>
                <c:pt idx="9">
                  <c:v>14</c:v>
                </c:pt>
                <c:pt idx="10">
                  <c:v>11</c:v>
                </c:pt>
                <c:pt idx="11">
                  <c:v>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4F-4EF8-B8AE-751CE1CF24E4}"/>
            </c:ext>
          </c:extLst>
        </c:ser>
        <c:ser>
          <c:idx val="4"/>
          <c:order val="4"/>
          <c:tx>
            <c:strRef>
              <c:f>Sheet3!$F$1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Sheet3!$A$2:$A$13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Sheet3!$F$2:$F$13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4F-4EF8-B8AE-751CE1CF24E4}"/>
            </c:ext>
          </c:extLst>
        </c:ser>
        <c:ser>
          <c:idx val="5"/>
          <c:order val="5"/>
          <c:tx>
            <c:strRef>
              <c:f>Sheet3!$G$1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Sheet3!$A$2:$A$13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Sheet3!$G$2:$G$13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0.53618421052631582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64F-4EF8-B8AE-751CE1CF24E4}"/>
            </c:ext>
          </c:extLst>
        </c:ser>
        <c:ser>
          <c:idx val="6"/>
          <c:order val="6"/>
          <c:tx>
            <c:strRef>
              <c:f>Sheet3!$H$1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Sheet3!$A$2:$A$13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Sheet3!$H$2:$H$13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8.8815789473684209E-2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64F-4EF8-B8AE-751CE1CF2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7921360"/>
        <c:axId val="888656032"/>
      </c:lineChart>
      <c:catAx>
        <c:axId val="89792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8656032"/>
        <c:crosses val="autoZero"/>
        <c:auto val="1"/>
        <c:lblAlgn val="ctr"/>
        <c:lblOffset val="100"/>
        <c:noMultiLvlLbl val="0"/>
      </c:catAx>
      <c:valAx>
        <c:axId val="88865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>
                <a:alpha val="93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92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529590</xdr:colOff>
      <xdr:row>2</xdr:row>
      <xdr:rowOff>30480</xdr:rowOff>
    </xdr:from>
    <xdr:to>
      <xdr:col>14</xdr:col>
      <xdr:colOff>407670</xdr:colOff>
      <xdr:row>16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28697B-A6D6-B43D-1A93-551565F7A3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552450</xdr:colOff>
      <xdr:row>13</xdr:row>
      <xdr:rowOff>161926</xdr:rowOff>
    </xdr:from>
    <xdr:to>
      <xdr:col>6</xdr:col>
      <xdr:colOff>1390650</xdr:colOff>
      <xdr:row>29</xdr:row>
      <xdr:rowOff>123826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5D98F93-4BBE-ABD1-EDD2-210D32BC9C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poa" refreshedDate="45199.805019097221" createdVersion="8" refreshedVersion="8" minRefreshableVersion="3" recordCount="1000" xr:uid="{C3C820FB-4936-4408-AEDE-D98980B7790E}">
  <cacheSource type="worksheet">
    <worksheetSource ref="A1:Q1001" sheet="Crowdfunding"/>
  </cacheSource>
  <cacheFields count="17">
    <cacheField name="id" numFmtId="0">
      <sharedItems containsMixedTypes="1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ercentage funded" numFmtId="0">
      <sharedItems containsBlank="1" containsMixedTypes="1" containsNumber="1" containsInteger="1" minValue="1439614800" maxValue="1439614800" longText="1"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poa" refreshedDate="45199.807526041666" createdVersion="8" refreshedVersion="8" minRefreshableVersion="3" recordCount="1008" xr:uid="{19650EAC-839A-4759-B3AB-BEE0D73AADB1}">
  <cacheSource type="worksheet">
    <worksheetSource ref="A1:Q1011" sheet="Crowdfunding"/>
  </cacheSource>
  <cacheFields count="17">
    <cacheField name="id" numFmtId="0">
      <sharedItems containsBlank="1" containsMixedTypes="1" containsNumber="1" containsInteger="1" minValue="0" maxValue="999"/>
    </cacheField>
    <cacheField name="name" numFmtId="0">
      <sharedItems containsBlank="1"/>
    </cacheField>
    <cacheField name="blurb" numFmtId="0">
      <sharedItems containsBlank="1"/>
    </cacheField>
    <cacheField name="goal" numFmtId="0">
      <sharedItems containsString="0" containsBlank="1" containsNumber="1" containsInteger="1" minValue="100" maxValue="199200"/>
    </cacheField>
    <cacheField name="pledged" numFmtId="0">
      <sharedItems containsString="0" containsBlank="1" containsNumber="1" containsInteger="1" minValue="0" maxValue="199110"/>
    </cacheField>
    <cacheField name="outcome" numFmtId="0">
      <sharedItems containsBlank="1" count="5">
        <s v="failed"/>
        <s v="successful"/>
        <s v="live"/>
        <s v="canceled"/>
        <m/>
      </sharedItems>
    </cacheField>
    <cacheField name="backers_count" numFmtId="0">
      <sharedItems containsString="0" containsBlank="1" containsNumber="1" containsInteger="1" minValue="0" maxValue="7295"/>
    </cacheField>
    <cacheField name="country" numFmtId="0">
      <sharedItems containsBlank="1" count="8">
        <s v="CA"/>
        <s v="US"/>
        <s v="AU"/>
        <s v="DK"/>
        <s v="GB"/>
        <s v="CH"/>
        <s v="IT"/>
        <m/>
      </sharedItems>
    </cacheField>
    <cacheField name="currency" numFmtId="0">
      <sharedItems containsBlank="1"/>
    </cacheField>
    <cacheField name="launched_at" numFmtId="0">
      <sharedItems containsString="0" containsBlank="1" containsNumber="1" containsInteger="1" minValue="1263016800" maxValue="1580104800"/>
    </cacheField>
    <cacheField name="deadline" numFmtId="0">
      <sharedItems containsString="0" containsBlank="1" containsNumber="1" containsInteger="1" minValue="1263016800" maxValue="1581314400"/>
    </cacheField>
    <cacheField name="staff_pick" numFmtId="0">
      <sharedItems containsBlank="1"/>
    </cacheField>
    <cacheField name="spotlight" numFmtId="0">
      <sharedItems containsBlank="1"/>
    </cacheField>
    <cacheField name="category &amp; sub-category" numFmtId="0">
      <sharedItems containsBlank="1"/>
    </cacheField>
    <cacheField name="Percentage funded" numFmtId="0">
      <sharedItems containsBlank="1" containsMixedTypes="1" containsNumber="1" containsInteger="1" minValue="1439614800" maxValue="1439614800" longText="1"/>
    </cacheField>
    <cacheField name="Parent Category" numFmtId="0">
      <sharedItems containsBlank="1" count="10">
        <s v="food"/>
        <s v="music"/>
        <s v="technology"/>
        <s v="theater"/>
        <s v="film &amp; video"/>
        <s v="publishing"/>
        <s v="games"/>
        <s v="photography"/>
        <s v="journalism"/>
        <m/>
      </sharedItems>
    </cacheField>
    <cacheField name="Sub-category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x v="0"/>
    <n v="0"/>
    <x v="0"/>
    <s v="CAD"/>
    <n v="1448690400"/>
    <n v="1450159200"/>
    <b v="0"/>
    <b v="0"/>
    <s v="food/food trucks"/>
    <n v="1439614800"/>
    <x v="0"/>
    <s v="food trucks"/>
  </r>
  <r>
    <n v="1"/>
    <s v="Odom Inc"/>
    <s v="Managed bottom-line architecture"/>
    <n v="1400"/>
    <n v="14560"/>
    <x v="1"/>
    <n v="158"/>
    <x v="1"/>
    <s v="USD"/>
    <n v="1408424400"/>
    <n v="1408597200"/>
    <b v="0"/>
    <b v="1"/>
    <s v="music/rock"/>
    <m/>
    <x v="1"/>
    <s v="rock"/>
  </r>
  <r>
    <n v="2"/>
    <s v="Melton, Robinson and Fritz"/>
    <s v="Function-based leadingedge pricing structure"/>
    <n v="108400"/>
    <n v="142523"/>
    <x v="1"/>
    <n v="1425"/>
    <x v="2"/>
    <s v="AUD"/>
    <n v="1384668000"/>
    <n v="1384840800"/>
    <b v="0"/>
    <b v="0"/>
    <s v="technology/web"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x v="2"/>
    <s v="web"/>
  </r>
  <r>
    <n v="3"/>
    <s v="Mcdonald, Gonzalez and Ross"/>
    <s v="Vision-oriented fresh-thinking conglomeration"/>
    <n v="4200"/>
    <n v="2477"/>
    <x v="0"/>
    <n v="24"/>
    <x v="1"/>
    <s v="USD"/>
    <n v="1565499600"/>
    <n v="1568955600"/>
    <b v="0"/>
    <b v="0"/>
    <s v="music/rock"/>
    <m/>
    <x v="1"/>
    <s v="rock"/>
  </r>
  <r>
    <n v="4"/>
    <s v="Larson-Little"/>
    <s v="Proactive foreground core"/>
    <n v="7600"/>
    <n v="5265"/>
    <x v="0"/>
    <n v="53"/>
    <x v="1"/>
    <s v="USD"/>
    <n v="1547964000"/>
    <n v="1548309600"/>
    <b v="0"/>
    <b v="0"/>
    <s v="theater/plays"/>
    <m/>
    <x v="3"/>
    <s v="plays"/>
  </r>
  <r>
    <e v="#DIV/0!"/>
    <s v="Harris Group"/>
    <s v="Open-source optimizing database"/>
    <n v="7600"/>
    <n v="13195"/>
    <x v="1"/>
    <n v="174"/>
    <x v="3"/>
    <s v="DKK"/>
    <n v="1346130000"/>
    <n v="1347080400"/>
    <b v="0"/>
    <b v="0"/>
    <s v="theater/plays"/>
    <m/>
    <x v="3"/>
    <s v="plays"/>
  </r>
  <r>
    <n v="6"/>
    <s v="Ortiz, Coleman and Mitchell"/>
    <s v="Operative upward-trending algorithm"/>
    <n v="5200"/>
    <n v="1090"/>
    <x v="0"/>
    <n v="18"/>
    <x v="4"/>
    <s v="GBP"/>
    <n v="1505278800"/>
    <n v="1505365200"/>
    <b v="0"/>
    <b v="0"/>
    <s v="film &amp; video/documentary"/>
    <m/>
    <x v="4"/>
    <s v="documentary"/>
  </r>
  <r>
    <n v="7"/>
    <s v="Carter-Guzman"/>
    <s v="Centralized cohesive challenge"/>
    <n v="4500"/>
    <n v="14741"/>
    <x v="1"/>
    <n v="227"/>
    <x v="3"/>
    <s v="DKK"/>
    <n v="1439442000"/>
    <n v="1439614800"/>
    <b v="0"/>
    <b v="0"/>
    <s v="theater/plays"/>
    <m/>
    <x v="3"/>
    <s v="plays"/>
  </r>
  <r>
    <n v="8"/>
    <s v="Nunez-Richards"/>
    <s v="Exclusive attitude-oriented intranet"/>
    <n v="110100"/>
    <n v="21946"/>
    <x v="2"/>
    <n v="708"/>
    <x v="3"/>
    <s v="DKK"/>
    <n v="1281330000"/>
    <n v="1281502800"/>
    <b v="0"/>
    <b v="0"/>
    <s v="theater/plays"/>
    <m/>
    <x v="3"/>
    <s v="plays"/>
  </r>
  <r>
    <n v="9"/>
    <s v="Rangel, Holt and Jones"/>
    <s v="Open-source fresh-thinking model"/>
    <n v="6200"/>
    <n v="3208"/>
    <x v="0"/>
    <n v="44"/>
    <x v="1"/>
    <s v="USD"/>
    <n v="1379566800"/>
    <n v="1383804000"/>
    <b v="0"/>
    <b v="0"/>
    <s v="music/electric music"/>
    <m/>
    <x v="1"/>
    <s v="electric music"/>
  </r>
  <r>
    <n v="10"/>
    <s v="Green Ltd"/>
    <s v="Monitored empowering installation"/>
    <n v="5200"/>
    <n v="13838"/>
    <x v="1"/>
    <n v="220"/>
    <x v="1"/>
    <s v="USD"/>
    <n v="1281762000"/>
    <n v="1285909200"/>
    <b v="0"/>
    <b v="0"/>
    <s v="film &amp; video/drama"/>
    <m/>
    <x v="4"/>
    <s v="drama"/>
  </r>
  <r>
    <n v="11"/>
    <s v="Perez, Johnson and Gardner"/>
    <s v="Grass-roots zero administration system engine"/>
    <n v="6300"/>
    <n v="3030"/>
    <x v="0"/>
    <n v="27"/>
    <x v="1"/>
    <s v="USD"/>
    <n v="1285045200"/>
    <n v="1285563600"/>
    <b v="0"/>
    <b v="1"/>
    <s v="theater/plays"/>
    <m/>
    <x v="3"/>
    <s v="plays"/>
  </r>
  <r>
    <n v="12"/>
    <s v="Kim Ltd"/>
    <s v="Assimilated hybrid intranet"/>
    <n v="6300"/>
    <n v="5629"/>
    <x v="0"/>
    <n v="55"/>
    <x v="1"/>
    <s v="USD"/>
    <n v="1571720400"/>
    <n v="1572411600"/>
    <b v="0"/>
    <b v="0"/>
    <s v="film &amp; video/drama"/>
    <m/>
    <x v="4"/>
    <s v="drama"/>
  </r>
  <r>
    <n v="13"/>
    <s v="Walker, Taylor and Coleman"/>
    <s v="Multi-tiered directional open architecture"/>
    <n v="4200"/>
    <n v="10295"/>
    <x v="1"/>
    <n v="98"/>
    <x v="1"/>
    <s v="USD"/>
    <n v="1465621200"/>
    <n v="1466658000"/>
    <b v="0"/>
    <b v="0"/>
    <s v="music/indie rock"/>
    <m/>
    <x v="1"/>
    <s v="indie rock"/>
  </r>
  <r>
    <n v="14"/>
    <s v="Rodriguez, Rose and Stewart"/>
    <s v="Cloned directional synergy"/>
    <n v="28200"/>
    <n v="18829"/>
    <x v="0"/>
    <n v="200"/>
    <x v="1"/>
    <s v="USD"/>
    <n v="1331013600"/>
    <n v="1333342800"/>
    <b v="0"/>
    <b v="0"/>
    <s v="music/indie rock"/>
    <m/>
    <x v="1"/>
    <s v="indie rock"/>
  </r>
  <r>
    <n v="15"/>
    <s v="Wright, Hunt and Rowe"/>
    <s v="Extended eco-centric pricing structure"/>
    <n v="81200"/>
    <n v="38414"/>
    <x v="0"/>
    <n v="452"/>
    <x v="1"/>
    <s v="USD"/>
    <n v="1575957600"/>
    <n v="1576303200"/>
    <b v="0"/>
    <b v="0"/>
    <s v="technology/wearables"/>
    <m/>
    <x v="2"/>
    <s v="wearables"/>
  </r>
  <r>
    <n v="16"/>
    <s v="Hines Inc"/>
    <s v="Cross-platform systemic adapter"/>
    <n v="1700"/>
    <n v="11041"/>
    <x v="1"/>
    <n v="100"/>
    <x v="1"/>
    <s v="USD"/>
    <n v="1390370400"/>
    <n v="1392271200"/>
    <b v="0"/>
    <b v="0"/>
    <s v="publishing/nonfiction"/>
    <m/>
    <x v="5"/>
    <s v="nonfiction"/>
  </r>
  <r>
    <n v="17"/>
    <s v="Cochran-Nguyen"/>
    <s v="Seamless 4thgeneration methodology"/>
    <n v="84600"/>
    <n v="134845"/>
    <x v="1"/>
    <n v="1249"/>
    <x v="1"/>
    <s v="USD"/>
    <n v="1294812000"/>
    <n v="1294898400"/>
    <b v="0"/>
    <b v="0"/>
    <s v="film &amp; video/animation"/>
    <m/>
    <x v="4"/>
    <s v="animation"/>
  </r>
  <r>
    <n v="18"/>
    <s v="Johnson-Gould"/>
    <s v="Exclusive needs-based adapter"/>
    <n v="9100"/>
    <n v="6089"/>
    <x v="3"/>
    <n v="135"/>
    <x v="1"/>
    <s v="USD"/>
    <n v="1536382800"/>
    <n v="1537074000"/>
    <b v="0"/>
    <b v="0"/>
    <s v="theater/plays"/>
    <m/>
    <x v="3"/>
    <s v="plays"/>
  </r>
  <r>
    <n v="19"/>
    <s v="Perez-Hess"/>
    <s v="Down-sized cohesive archive"/>
    <n v="62500"/>
    <n v="30331"/>
    <x v="0"/>
    <n v="674"/>
    <x v="1"/>
    <s v="USD"/>
    <n v="1551679200"/>
    <n v="1553490000"/>
    <b v="0"/>
    <b v="1"/>
    <s v="theater/plays"/>
    <m/>
    <x v="3"/>
    <s v="plays"/>
  </r>
  <r>
    <n v="20"/>
    <s v="Reeves, Thompson and Richardson"/>
    <s v="Proactive composite alliance"/>
    <n v="131800"/>
    <n v="147936"/>
    <x v="1"/>
    <n v="1396"/>
    <x v="1"/>
    <s v="USD"/>
    <n v="1406523600"/>
    <n v="1406523600"/>
    <b v="0"/>
    <b v="0"/>
    <s v="film &amp; video/drama"/>
    <m/>
    <x v="4"/>
    <s v="drama"/>
  </r>
  <r>
    <n v="21"/>
    <s v="Simmons-Reynolds"/>
    <s v="Re-engineered intangible definition"/>
    <n v="94000"/>
    <n v="38533"/>
    <x v="0"/>
    <n v="558"/>
    <x v="1"/>
    <s v="USD"/>
    <n v="1313384400"/>
    <n v="1316322000"/>
    <b v="0"/>
    <b v="0"/>
    <s v="theater/plays"/>
    <m/>
    <x v="3"/>
    <s v="plays"/>
  </r>
  <r>
    <n v="22"/>
    <s v="Collier Inc"/>
    <s v="Enhanced dynamic definition"/>
    <n v="59100"/>
    <n v="75690"/>
    <x v="1"/>
    <n v="890"/>
    <x v="1"/>
    <s v="USD"/>
    <n v="1522731600"/>
    <n v="1524027600"/>
    <b v="0"/>
    <b v="0"/>
    <s v="theater/plays"/>
    <m/>
    <x v="3"/>
    <s v="plays"/>
  </r>
  <r>
    <n v="23"/>
    <s v="Gray-Jenkins"/>
    <s v="Devolved next generation adapter"/>
    <n v="4500"/>
    <n v="14942"/>
    <x v="1"/>
    <n v="142"/>
    <x v="4"/>
    <s v="GBP"/>
    <n v="1550124000"/>
    <n v="1554699600"/>
    <b v="0"/>
    <b v="0"/>
    <s v="film &amp; video/documentary"/>
    <m/>
    <x v="4"/>
    <s v="documentary"/>
  </r>
  <r>
    <n v="24"/>
    <s v="Scott, Wilson and Martin"/>
    <s v="Cross-platform intermediate frame"/>
    <n v="92400"/>
    <n v="104257"/>
    <x v="1"/>
    <n v="2673"/>
    <x v="1"/>
    <s v="USD"/>
    <n v="1403326800"/>
    <n v="1403499600"/>
    <b v="0"/>
    <b v="0"/>
    <s v="technology/wearables"/>
    <m/>
    <x v="2"/>
    <s v="wearables"/>
  </r>
  <r>
    <n v="25"/>
    <s v="Caldwell, Velazquez and Wilson"/>
    <s v="Monitored impactful analyzer"/>
    <n v="5500"/>
    <n v="11904"/>
    <x v="1"/>
    <n v="163"/>
    <x v="1"/>
    <s v="USD"/>
    <n v="1305694800"/>
    <n v="1307422800"/>
    <b v="0"/>
    <b v="1"/>
    <s v="games/video games"/>
    <m/>
    <x v="6"/>
    <s v="video games"/>
  </r>
  <r>
    <n v="26"/>
    <s v="Spencer-Bates"/>
    <s v="Optional responsive customer loyalty"/>
    <n v="107500"/>
    <n v="51814"/>
    <x v="3"/>
    <n v="1480"/>
    <x v="1"/>
    <s v="USD"/>
    <n v="1533013200"/>
    <n v="1535346000"/>
    <b v="0"/>
    <b v="0"/>
    <s v="theater/plays"/>
    <m/>
    <x v="3"/>
    <s v="plays"/>
  </r>
  <r>
    <n v="27"/>
    <s v="Best, Carr and Williams"/>
    <s v="Diverse transitional migration"/>
    <n v="2000"/>
    <n v="1599"/>
    <x v="0"/>
    <n v="15"/>
    <x v="1"/>
    <s v="USD"/>
    <n v="1443848400"/>
    <n v="1444539600"/>
    <b v="0"/>
    <b v="0"/>
    <s v="music/rock"/>
    <m/>
    <x v="1"/>
    <s v="rock"/>
  </r>
  <r>
    <n v="28"/>
    <s v="Campbell, Brown and Powell"/>
    <s v="Synchronized global task-force"/>
    <n v="130800"/>
    <n v="137635"/>
    <x v="1"/>
    <n v="2220"/>
    <x v="1"/>
    <s v="USD"/>
    <n v="1265695200"/>
    <n v="1267682400"/>
    <b v="0"/>
    <b v="1"/>
    <s v="theater/plays"/>
    <m/>
    <x v="3"/>
    <s v="plays"/>
  </r>
  <r>
    <n v="29"/>
    <s v="Johnson, Parker and Haynes"/>
    <s v="Focused 6thgeneration forecast"/>
    <n v="45900"/>
    <n v="150965"/>
    <x v="1"/>
    <n v="1606"/>
    <x v="5"/>
    <s v="CHF"/>
    <n v="1532062800"/>
    <n v="1535518800"/>
    <b v="0"/>
    <b v="0"/>
    <s v="film &amp; video/shorts"/>
    <m/>
    <x v="4"/>
    <s v="shorts"/>
  </r>
  <r>
    <n v="30"/>
    <s v="Clark-Cooke"/>
    <s v="Down-sized analyzing challenge"/>
    <n v="9000"/>
    <n v="14455"/>
    <x v="1"/>
    <n v="129"/>
    <x v="1"/>
    <s v="USD"/>
    <n v="1558674000"/>
    <n v="1559106000"/>
    <b v="0"/>
    <b v="0"/>
    <s v="film &amp; video/animation"/>
    <m/>
    <x v="4"/>
    <s v="animation"/>
  </r>
  <r>
    <n v="31"/>
    <s v="Schroeder Ltd"/>
    <s v="Progressive needs-based focus group"/>
    <n v="3500"/>
    <n v="10850"/>
    <x v="1"/>
    <n v="226"/>
    <x v="4"/>
    <s v="GBP"/>
    <n v="1451973600"/>
    <n v="1454392800"/>
    <b v="0"/>
    <b v="0"/>
    <s v="games/video games"/>
    <m/>
    <x v="6"/>
    <s v="video games"/>
  </r>
  <r>
    <n v="32"/>
    <s v="Jackson PLC"/>
    <s v="Ergonomic 6thgeneration success"/>
    <n v="101000"/>
    <n v="87676"/>
    <x v="0"/>
    <n v="2307"/>
    <x v="6"/>
    <s v="EUR"/>
    <n v="1515564000"/>
    <n v="1517896800"/>
    <b v="0"/>
    <b v="0"/>
    <s v="film &amp; video/documentary"/>
    <m/>
    <x v="4"/>
    <s v="documentary"/>
  </r>
  <r>
    <n v="33"/>
    <s v="Blair, Collins and Carter"/>
    <s v="Exclusive interactive approach"/>
    <n v="50200"/>
    <n v="189666"/>
    <x v="1"/>
    <n v="5419"/>
    <x v="1"/>
    <s v="USD"/>
    <n v="1412485200"/>
    <n v="1415685600"/>
    <b v="0"/>
    <b v="0"/>
    <s v="theater/plays"/>
    <m/>
    <x v="3"/>
    <s v="plays"/>
  </r>
  <r>
    <n v="34"/>
    <s v="Maldonado and Sons"/>
    <s v="Reverse-engineered asynchronous archive"/>
    <n v="9300"/>
    <n v="14025"/>
    <x v="1"/>
    <n v="165"/>
    <x v="1"/>
    <s v="USD"/>
    <n v="1490245200"/>
    <n v="1490677200"/>
    <b v="0"/>
    <b v="0"/>
    <s v="film &amp; video/documentary"/>
    <m/>
    <x v="4"/>
    <s v="documentary"/>
  </r>
  <r>
    <n v="35"/>
    <s v="Mitchell and Sons"/>
    <s v="Synergized intangible challenge"/>
    <n v="125500"/>
    <n v="188628"/>
    <x v="1"/>
    <n v="1965"/>
    <x v="3"/>
    <s v="DKK"/>
    <n v="1547877600"/>
    <n v="1551506400"/>
    <b v="0"/>
    <b v="1"/>
    <s v="film &amp; video/drama"/>
    <m/>
    <x v="4"/>
    <s v="drama"/>
  </r>
  <r>
    <n v="36"/>
    <s v="Jackson-Lewis"/>
    <s v="Monitored multi-state encryption"/>
    <n v="700"/>
    <n v="1101"/>
    <x v="1"/>
    <n v="16"/>
    <x v="1"/>
    <s v="USD"/>
    <n v="1298700000"/>
    <n v="1300856400"/>
    <b v="0"/>
    <b v="0"/>
    <s v="theater/plays"/>
    <m/>
    <x v="3"/>
    <s v="plays"/>
  </r>
  <r>
    <n v="37"/>
    <s v="Black, Armstrong and Anderson"/>
    <s v="Profound attitude-oriented functionalities"/>
    <n v="8100"/>
    <n v="11339"/>
    <x v="1"/>
    <n v="107"/>
    <x v="1"/>
    <s v="USD"/>
    <n v="1570338000"/>
    <n v="1573192800"/>
    <b v="0"/>
    <b v="1"/>
    <s v="publishing/fiction"/>
    <m/>
    <x v="5"/>
    <s v="fiction"/>
  </r>
  <r>
    <n v="38"/>
    <s v="Maldonado-Gonzalez"/>
    <s v="Digitized client-driven database"/>
    <n v="3100"/>
    <n v="10085"/>
    <x v="1"/>
    <n v="134"/>
    <x v="1"/>
    <s v="USD"/>
    <n v="1287378000"/>
    <n v="1287810000"/>
    <b v="0"/>
    <b v="0"/>
    <s v="photography/photography books"/>
    <m/>
    <x v="7"/>
    <s v="photography books"/>
  </r>
  <r>
    <n v="39"/>
    <s v="Kim-Rice"/>
    <s v="Organized bi-directional function"/>
    <n v="9900"/>
    <n v="5027"/>
    <x v="0"/>
    <n v="88"/>
    <x v="3"/>
    <s v="DKK"/>
    <n v="1361772000"/>
    <n v="1362978000"/>
    <b v="0"/>
    <b v="0"/>
    <s v="theater/plays"/>
    <m/>
    <x v="3"/>
    <s v="plays"/>
  </r>
  <r>
    <n v="40"/>
    <s v="Garcia, Garcia and Lopez"/>
    <s v="Reduced stable middleware"/>
    <n v="8800"/>
    <n v="14878"/>
    <x v="1"/>
    <n v="198"/>
    <x v="1"/>
    <s v="USD"/>
    <n v="1275714000"/>
    <n v="1277355600"/>
    <b v="0"/>
    <b v="1"/>
    <s v="technology/wearables"/>
    <m/>
    <x v="2"/>
    <s v="wearables"/>
  </r>
  <r>
    <n v="41"/>
    <s v="Watts Group"/>
    <s v="Universal 5thgeneration neural-net"/>
    <n v="5600"/>
    <n v="11924"/>
    <x v="1"/>
    <n v="111"/>
    <x v="6"/>
    <s v="EUR"/>
    <n v="1346734800"/>
    <n v="1348981200"/>
    <b v="0"/>
    <b v="1"/>
    <s v="music/rock"/>
    <m/>
    <x v="1"/>
    <s v="rock"/>
  </r>
  <r>
    <n v="42"/>
    <s v="Werner-Bryant"/>
    <s v="Virtual uniform frame"/>
    <n v="1800"/>
    <n v="7991"/>
    <x v="1"/>
    <n v="222"/>
    <x v="1"/>
    <s v="USD"/>
    <n v="1309755600"/>
    <n v="1310533200"/>
    <b v="0"/>
    <b v="0"/>
    <s v="food/food trucks"/>
    <m/>
    <x v="0"/>
    <s v="food trucks"/>
  </r>
  <r>
    <n v="43"/>
    <s v="Schmitt-Mendoza"/>
    <s v="Profound explicit paradigm"/>
    <n v="90200"/>
    <n v="167717"/>
    <x v="1"/>
    <n v="6212"/>
    <x v="1"/>
    <s v="USD"/>
    <n v="1406178000"/>
    <n v="1407560400"/>
    <b v="0"/>
    <b v="0"/>
    <s v="publishing/radio &amp; podcasts"/>
    <m/>
    <x v="5"/>
    <s v="radio &amp; podcasts"/>
  </r>
  <r>
    <n v="44"/>
    <s v="Reid-Mccullough"/>
    <s v="Visionary real-time groupware"/>
    <n v="1600"/>
    <n v="10541"/>
    <x v="1"/>
    <n v="98"/>
    <x v="3"/>
    <s v="DKK"/>
    <n v="1552798800"/>
    <n v="1552885200"/>
    <b v="0"/>
    <b v="0"/>
    <s v="publishing/fiction"/>
    <m/>
    <x v="5"/>
    <s v="fiction"/>
  </r>
  <r>
    <n v="45"/>
    <s v="Woods-Clark"/>
    <s v="Networked tertiary Graphical User Interface"/>
    <n v="9500"/>
    <n v="4530"/>
    <x v="0"/>
    <n v="48"/>
    <x v="1"/>
    <s v="USD"/>
    <n v="1478062800"/>
    <n v="1479362400"/>
    <b v="0"/>
    <b v="1"/>
    <s v="theater/plays"/>
    <m/>
    <x v="3"/>
    <s v="plays"/>
  </r>
  <r>
    <n v="46"/>
    <s v="Vaughn, Hunt and Caldwell"/>
    <s v="Virtual grid-enabled task-force"/>
    <n v="3700"/>
    <n v="4247"/>
    <x v="1"/>
    <n v="92"/>
    <x v="1"/>
    <s v="USD"/>
    <n v="1278565200"/>
    <n v="1280552400"/>
    <b v="0"/>
    <b v="0"/>
    <s v="music/rock"/>
    <m/>
    <x v="1"/>
    <s v="rock"/>
  </r>
  <r>
    <n v="47"/>
    <s v="Bennett and Sons"/>
    <s v="Function-based multi-state software"/>
    <n v="1500"/>
    <n v="7129"/>
    <x v="1"/>
    <n v="149"/>
    <x v="1"/>
    <s v="USD"/>
    <n v="1396069200"/>
    <n v="1398661200"/>
    <b v="0"/>
    <b v="0"/>
    <s v="theater/plays"/>
    <m/>
    <x v="3"/>
    <s v="plays"/>
  </r>
  <r>
    <n v="48"/>
    <s v="Lamb Inc"/>
    <s v="Optimized leadingedge concept"/>
    <n v="33300"/>
    <n v="128862"/>
    <x v="1"/>
    <n v="2431"/>
    <x v="1"/>
    <s v="USD"/>
    <n v="1435208400"/>
    <n v="1436245200"/>
    <b v="0"/>
    <b v="0"/>
    <s v="theater/plays"/>
    <m/>
    <x v="3"/>
    <s v="plays"/>
  </r>
  <r>
    <n v="49"/>
    <s v="Casey-Kelly"/>
    <s v="Sharable holistic interface"/>
    <n v="7200"/>
    <n v="13653"/>
    <x v="1"/>
    <n v="303"/>
    <x v="1"/>
    <s v="USD"/>
    <n v="1571547600"/>
    <n v="1575439200"/>
    <b v="0"/>
    <b v="0"/>
    <s v="music/rock"/>
    <m/>
    <x v="1"/>
    <s v="rock"/>
  </r>
  <r>
    <n v="50"/>
    <s v="Jones, Taylor and Moore"/>
    <s v="Down-sized system-worthy secured line"/>
    <n v="100"/>
    <n v="2"/>
    <x v="0"/>
    <n v="1"/>
    <x v="6"/>
    <s v="EUR"/>
    <n v="1375333200"/>
    <n v="1377752400"/>
    <b v="0"/>
    <b v="0"/>
    <s v="music/metal"/>
    <m/>
    <x v="1"/>
    <s v="metal"/>
  </r>
  <r>
    <n v="51"/>
    <s v="Bradshaw, Gill and Donovan"/>
    <s v="Inverse secondary infrastructure"/>
    <n v="158100"/>
    <n v="145243"/>
    <x v="0"/>
    <n v="1467"/>
    <x v="4"/>
    <s v="GBP"/>
    <n v="1332824400"/>
    <n v="1334206800"/>
    <b v="0"/>
    <b v="1"/>
    <s v="technology/wearables"/>
    <m/>
    <x v="2"/>
    <s v="wearables"/>
  </r>
  <r>
    <n v="52"/>
    <s v="Hernandez, Rodriguez and Clark"/>
    <s v="Organic foreground leverage"/>
    <n v="7200"/>
    <n v="2459"/>
    <x v="0"/>
    <n v="75"/>
    <x v="1"/>
    <s v="USD"/>
    <n v="1284526800"/>
    <n v="1284872400"/>
    <b v="0"/>
    <b v="0"/>
    <s v="theater/plays"/>
    <m/>
    <x v="3"/>
    <s v="plays"/>
  </r>
  <r>
    <n v="53"/>
    <s v="Smith-Jones"/>
    <s v="Reverse-engineered static concept"/>
    <n v="8800"/>
    <n v="12356"/>
    <x v="1"/>
    <n v="209"/>
    <x v="1"/>
    <s v="USD"/>
    <n v="1400562000"/>
    <n v="1403931600"/>
    <b v="0"/>
    <b v="0"/>
    <s v="film &amp; video/drama"/>
    <m/>
    <x v="4"/>
    <s v="drama"/>
  </r>
  <r>
    <n v="54"/>
    <s v="Roy PLC"/>
    <s v="Multi-channeled neutral customer loyalty"/>
    <n v="6000"/>
    <n v="5392"/>
    <x v="0"/>
    <n v="120"/>
    <x v="1"/>
    <s v="USD"/>
    <n v="1520748000"/>
    <n v="1521262800"/>
    <b v="0"/>
    <b v="0"/>
    <s v="technology/wearables"/>
    <m/>
    <x v="2"/>
    <s v="wearables"/>
  </r>
  <r>
    <n v="55"/>
    <s v="Wright, Brooks and Villarreal"/>
    <s v="Reverse-engineered bifurcated strategy"/>
    <n v="6600"/>
    <n v="11746"/>
    <x v="1"/>
    <n v="131"/>
    <x v="1"/>
    <s v="USD"/>
    <n v="1532926800"/>
    <n v="1533358800"/>
    <b v="0"/>
    <b v="0"/>
    <s v="music/jazz"/>
    <m/>
    <x v="1"/>
    <s v="jazz"/>
  </r>
  <r>
    <n v="56"/>
    <s v="Flores, Miller and Johnson"/>
    <s v="Horizontal context-sensitive knowledge user"/>
    <n v="8000"/>
    <n v="11493"/>
    <x v="1"/>
    <n v="164"/>
    <x v="1"/>
    <s v="USD"/>
    <n v="1420869600"/>
    <n v="1421474400"/>
    <b v="0"/>
    <b v="0"/>
    <s v="technology/wearables"/>
    <m/>
    <x v="2"/>
    <s v="wearables"/>
  </r>
  <r>
    <n v="57"/>
    <s v="Bridges, Freeman and Kim"/>
    <s v="Cross-group multi-state task-force"/>
    <n v="2900"/>
    <n v="6243"/>
    <x v="1"/>
    <n v="201"/>
    <x v="1"/>
    <s v="USD"/>
    <n v="1504242000"/>
    <n v="1505278800"/>
    <b v="0"/>
    <b v="0"/>
    <s v="games/video games"/>
    <m/>
    <x v="6"/>
    <s v="video games"/>
  </r>
  <r>
    <n v="58"/>
    <s v="Anderson-Perez"/>
    <s v="Expanded 3rdgeneration strategy"/>
    <n v="2700"/>
    <n v="6132"/>
    <x v="1"/>
    <n v="211"/>
    <x v="1"/>
    <s v="USD"/>
    <n v="1442811600"/>
    <n v="1443934800"/>
    <b v="0"/>
    <b v="0"/>
    <s v="theater/plays"/>
    <m/>
    <x v="3"/>
    <s v="plays"/>
  </r>
  <r>
    <n v="59"/>
    <s v="Wright, Fox and Marks"/>
    <s v="Assimilated real-time support"/>
    <n v="1400"/>
    <n v="3851"/>
    <x v="1"/>
    <n v="128"/>
    <x v="1"/>
    <s v="USD"/>
    <n v="1497243600"/>
    <n v="1498539600"/>
    <b v="0"/>
    <b v="1"/>
    <s v="theater/plays"/>
    <m/>
    <x v="3"/>
    <s v="plays"/>
  </r>
  <r>
    <n v="60"/>
    <s v="Crawford-Peters"/>
    <s v="User-centric regional database"/>
    <n v="94200"/>
    <n v="135997"/>
    <x v="1"/>
    <n v="1600"/>
    <x v="0"/>
    <s v="CAD"/>
    <n v="1342501200"/>
    <n v="1342760400"/>
    <b v="0"/>
    <b v="0"/>
    <s v="theater/plays"/>
    <m/>
    <x v="3"/>
    <s v="plays"/>
  </r>
  <r>
    <n v="61"/>
    <s v="Romero-Hoffman"/>
    <s v="Open-source zero administration complexity"/>
    <n v="199200"/>
    <n v="184750"/>
    <x v="0"/>
    <n v="2253"/>
    <x v="0"/>
    <s v="CAD"/>
    <n v="1298268000"/>
    <n v="1301720400"/>
    <b v="0"/>
    <b v="0"/>
    <s v="theater/plays"/>
    <m/>
    <x v="3"/>
    <s v="plays"/>
  </r>
  <r>
    <n v="62"/>
    <s v="Sparks-West"/>
    <s v="Organized incremental standardization"/>
    <n v="2000"/>
    <n v="14452"/>
    <x v="1"/>
    <n v="249"/>
    <x v="1"/>
    <s v="USD"/>
    <n v="1433480400"/>
    <n v="1433566800"/>
    <b v="0"/>
    <b v="0"/>
    <s v="technology/web"/>
    <m/>
    <x v="2"/>
    <s v="web"/>
  </r>
  <r>
    <n v="63"/>
    <s v="Baker, Morgan and Brown"/>
    <s v="Assimilated didactic open system"/>
    <n v="4700"/>
    <n v="557"/>
    <x v="0"/>
    <n v="5"/>
    <x v="1"/>
    <s v="USD"/>
    <n v="1493355600"/>
    <n v="1493874000"/>
    <b v="0"/>
    <b v="0"/>
    <s v="theater/plays"/>
    <m/>
    <x v="3"/>
    <s v="plays"/>
  </r>
  <r>
    <n v="64"/>
    <s v="Mosley-Gilbert"/>
    <s v="Vision-oriented logistical intranet"/>
    <n v="2800"/>
    <n v="2734"/>
    <x v="0"/>
    <n v="38"/>
    <x v="1"/>
    <s v="USD"/>
    <n v="1530507600"/>
    <n v="1531803600"/>
    <b v="0"/>
    <b v="1"/>
    <s v="technology/web"/>
    <m/>
    <x v="2"/>
    <s v="web"/>
  </r>
  <r>
    <n v="65"/>
    <s v="Berry-Boyer"/>
    <s v="Mandatory incremental projection"/>
    <n v="6100"/>
    <n v="14405"/>
    <x v="1"/>
    <n v="236"/>
    <x v="1"/>
    <s v="USD"/>
    <n v="1296108000"/>
    <n v="1296712800"/>
    <b v="0"/>
    <b v="0"/>
    <s v="theater/plays"/>
    <m/>
    <x v="3"/>
    <s v="plays"/>
  </r>
  <r>
    <n v="66"/>
    <s v="Sanders-Allen"/>
    <s v="Grass-roots needs-based encryption"/>
    <n v="2900"/>
    <n v="1307"/>
    <x v="0"/>
    <n v="12"/>
    <x v="1"/>
    <s v="USD"/>
    <n v="1428469200"/>
    <n v="1428901200"/>
    <b v="0"/>
    <b v="1"/>
    <s v="theater/plays"/>
    <m/>
    <x v="3"/>
    <s v="plays"/>
  </r>
  <r>
    <n v="67"/>
    <s v="Lopez Inc"/>
    <s v="Team-oriented 6thgeneration middleware"/>
    <n v="72600"/>
    <n v="117892"/>
    <x v="1"/>
    <n v="4065"/>
    <x v="4"/>
    <s v="GBP"/>
    <n v="1264399200"/>
    <n v="1264831200"/>
    <b v="0"/>
    <b v="1"/>
    <s v="technology/wearables"/>
    <m/>
    <x v="2"/>
    <s v="wearables"/>
  </r>
  <r>
    <n v="68"/>
    <s v="Moreno-Turner"/>
    <s v="Inverse multi-tasking installation"/>
    <n v="5700"/>
    <n v="14508"/>
    <x v="1"/>
    <n v="246"/>
    <x v="6"/>
    <s v="EUR"/>
    <n v="1501131600"/>
    <n v="1505192400"/>
    <b v="0"/>
    <b v="1"/>
    <s v="theater/plays"/>
    <m/>
    <x v="3"/>
    <s v="plays"/>
  </r>
  <r>
    <n v="69"/>
    <s v="Jones-Watson"/>
    <s v="Switchable disintermediate moderator"/>
    <n v="7900"/>
    <n v="1901"/>
    <x v="3"/>
    <n v="17"/>
    <x v="1"/>
    <s v="USD"/>
    <n v="1292738400"/>
    <n v="1295676000"/>
    <b v="0"/>
    <b v="0"/>
    <s v="theater/plays"/>
    <m/>
    <x v="3"/>
    <s v="plays"/>
  </r>
  <r>
    <n v="70"/>
    <s v="Barker Inc"/>
    <s v="Re-engineered 24/7 task-force"/>
    <n v="128000"/>
    <n v="158389"/>
    <x v="1"/>
    <n v="2475"/>
    <x v="6"/>
    <s v="EUR"/>
    <n v="1288674000"/>
    <n v="1292911200"/>
    <b v="0"/>
    <b v="1"/>
    <s v="theater/plays"/>
    <m/>
    <x v="3"/>
    <s v="plays"/>
  </r>
  <r>
    <n v="71"/>
    <s v="Tate, Bass and House"/>
    <s v="Organic object-oriented budgetary management"/>
    <n v="6000"/>
    <n v="6484"/>
    <x v="1"/>
    <n v="76"/>
    <x v="1"/>
    <s v="USD"/>
    <n v="1575093600"/>
    <n v="1575439200"/>
    <b v="0"/>
    <b v="0"/>
    <s v="theater/plays"/>
    <m/>
    <x v="3"/>
    <s v="plays"/>
  </r>
  <r>
    <n v="72"/>
    <s v="Hampton, Lewis and Ray"/>
    <s v="Seamless coherent parallelism"/>
    <n v="600"/>
    <n v="4022"/>
    <x v="1"/>
    <n v="54"/>
    <x v="1"/>
    <s v="USD"/>
    <n v="1435726800"/>
    <n v="1438837200"/>
    <b v="0"/>
    <b v="0"/>
    <s v="film &amp; video/animation"/>
    <m/>
    <x v="4"/>
    <s v="animation"/>
  </r>
  <r>
    <n v="73"/>
    <s v="Collins-Goodman"/>
    <s v="Cross-platform even-keeled initiative"/>
    <n v="1400"/>
    <n v="9253"/>
    <x v="1"/>
    <n v="88"/>
    <x v="1"/>
    <s v="USD"/>
    <n v="1480226400"/>
    <n v="1480485600"/>
    <b v="0"/>
    <b v="0"/>
    <s v="music/jazz"/>
    <m/>
    <x v="1"/>
    <s v="jazz"/>
  </r>
  <r>
    <n v="74"/>
    <s v="Davis-Michael"/>
    <s v="Progressive tertiary framework"/>
    <n v="3900"/>
    <n v="4776"/>
    <x v="1"/>
    <n v="85"/>
    <x v="4"/>
    <s v="GBP"/>
    <n v="1459054800"/>
    <n v="1459141200"/>
    <b v="0"/>
    <b v="0"/>
    <s v="music/metal"/>
    <m/>
    <x v="1"/>
    <s v="metal"/>
  </r>
  <r>
    <n v="75"/>
    <s v="White, Torres and Bishop"/>
    <s v="Multi-layered dynamic protocol"/>
    <n v="9700"/>
    <n v="14606"/>
    <x v="1"/>
    <n v="170"/>
    <x v="1"/>
    <s v="USD"/>
    <n v="1531630800"/>
    <n v="1532322000"/>
    <b v="0"/>
    <b v="0"/>
    <s v="photography/photography books"/>
    <m/>
    <x v="7"/>
    <s v="photography books"/>
  </r>
  <r>
    <n v="76"/>
    <s v="Martin, Conway and Larsen"/>
    <s v="Horizontal next generation function"/>
    <n v="122900"/>
    <n v="95993"/>
    <x v="0"/>
    <n v="1684"/>
    <x v="1"/>
    <s v="USD"/>
    <n v="1421992800"/>
    <n v="1426222800"/>
    <b v="1"/>
    <b v="1"/>
    <s v="theater/plays"/>
    <m/>
    <x v="3"/>
    <s v="plays"/>
  </r>
  <r>
    <n v="77"/>
    <s v="Acevedo-Huffman"/>
    <s v="Pre-emptive impactful model"/>
    <n v="9500"/>
    <n v="4460"/>
    <x v="0"/>
    <n v="56"/>
    <x v="1"/>
    <s v="USD"/>
    <n v="1285563600"/>
    <n v="1286773200"/>
    <b v="0"/>
    <b v="1"/>
    <s v="film &amp; video/animation"/>
    <m/>
    <x v="4"/>
    <s v="animation"/>
  </r>
  <r>
    <n v="78"/>
    <s v="Montgomery, Larson and Spencer"/>
    <s v="User-centric bifurcated knowledge user"/>
    <n v="4500"/>
    <n v="13536"/>
    <x v="1"/>
    <n v="330"/>
    <x v="1"/>
    <s v="USD"/>
    <n v="1523854800"/>
    <n v="1523941200"/>
    <b v="0"/>
    <b v="0"/>
    <s v="publishing/translations"/>
    <m/>
    <x v="5"/>
    <s v="translations"/>
  </r>
  <r>
    <n v="79"/>
    <s v="Soto LLC"/>
    <s v="Triple-buffered reciprocal project"/>
    <n v="57800"/>
    <n v="40228"/>
    <x v="0"/>
    <n v="838"/>
    <x v="1"/>
    <s v="USD"/>
    <n v="1529125200"/>
    <n v="1529557200"/>
    <b v="0"/>
    <b v="0"/>
    <s v="theater/plays"/>
    <m/>
    <x v="3"/>
    <s v="plays"/>
  </r>
  <r>
    <n v="80"/>
    <s v="Sutton, Barrett and Tucker"/>
    <s v="Cross-platform needs-based approach"/>
    <n v="1100"/>
    <n v="7012"/>
    <x v="1"/>
    <n v="127"/>
    <x v="1"/>
    <s v="USD"/>
    <n v="1503982800"/>
    <n v="1506574800"/>
    <b v="0"/>
    <b v="0"/>
    <s v="games/video games"/>
    <m/>
    <x v="6"/>
    <s v="video games"/>
  </r>
  <r>
    <n v="81"/>
    <s v="Gomez, Bailey and Flores"/>
    <s v="User-friendly static contingency"/>
    <n v="16800"/>
    <n v="37857"/>
    <x v="1"/>
    <n v="411"/>
    <x v="1"/>
    <s v="USD"/>
    <n v="1511416800"/>
    <n v="1513576800"/>
    <b v="0"/>
    <b v="0"/>
    <s v="music/rock"/>
    <m/>
    <x v="1"/>
    <s v="rock"/>
  </r>
  <r>
    <n v="82"/>
    <s v="Porter-George"/>
    <s v="Reactive content-based framework"/>
    <n v="1000"/>
    <n v="14973"/>
    <x v="1"/>
    <n v="180"/>
    <x v="4"/>
    <s v="GBP"/>
    <n v="1547704800"/>
    <n v="1548309600"/>
    <b v="0"/>
    <b v="1"/>
    <s v="games/video games"/>
    <m/>
    <x v="6"/>
    <s v="video games"/>
  </r>
  <r>
    <n v="83"/>
    <s v="Fitzgerald PLC"/>
    <s v="Realigned user-facing concept"/>
    <n v="106400"/>
    <n v="39996"/>
    <x v="0"/>
    <n v="1000"/>
    <x v="1"/>
    <s v="USD"/>
    <n v="1469682000"/>
    <n v="1471582800"/>
    <b v="0"/>
    <b v="0"/>
    <s v="music/electric music"/>
    <m/>
    <x v="1"/>
    <s v="electric music"/>
  </r>
  <r>
    <n v="84"/>
    <s v="Cisneros-Burton"/>
    <s v="Public-key zero tolerance orchestration"/>
    <n v="31400"/>
    <n v="41564"/>
    <x v="1"/>
    <n v="374"/>
    <x v="1"/>
    <s v="USD"/>
    <n v="1343451600"/>
    <n v="1344315600"/>
    <b v="0"/>
    <b v="0"/>
    <s v="technology/wearables"/>
    <m/>
    <x v="2"/>
    <s v="wearables"/>
  </r>
  <r>
    <n v="85"/>
    <s v="Hill, Lawson and Wilkinson"/>
    <s v="Multi-tiered eco-centric architecture"/>
    <n v="4900"/>
    <n v="6430"/>
    <x v="1"/>
    <n v="71"/>
    <x v="2"/>
    <s v="AUD"/>
    <n v="1315717200"/>
    <n v="1316408400"/>
    <b v="0"/>
    <b v="0"/>
    <s v="music/indie rock"/>
    <m/>
    <x v="1"/>
    <s v="indie rock"/>
  </r>
  <r>
    <n v="86"/>
    <s v="Davis-Smith"/>
    <s v="Organic motivating firmware"/>
    <n v="7400"/>
    <n v="12405"/>
    <x v="1"/>
    <n v="203"/>
    <x v="1"/>
    <s v="USD"/>
    <n v="1430715600"/>
    <n v="1431838800"/>
    <b v="1"/>
    <b v="0"/>
    <s v="theater/plays"/>
    <m/>
    <x v="3"/>
    <s v="plays"/>
  </r>
  <r>
    <n v="87"/>
    <s v="Farrell and Sons"/>
    <s v="Synergized 4thgeneration conglomeration"/>
    <n v="198500"/>
    <n v="123040"/>
    <x v="0"/>
    <n v="1482"/>
    <x v="2"/>
    <s v="AUD"/>
    <n v="1299564000"/>
    <n v="1300510800"/>
    <b v="0"/>
    <b v="1"/>
    <s v="music/rock"/>
    <m/>
    <x v="1"/>
    <s v="rock"/>
  </r>
  <r>
    <n v="88"/>
    <s v="Clark Group"/>
    <s v="Grass-roots fault-tolerant policy"/>
    <n v="4800"/>
    <n v="12516"/>
    <x v="1"/>
    <n v="113"/>
    <x v="1"/>
    <s v="USD"/>
    <n v="1429160400"/>
    <n v="1431061200"/>
    <b v="0"/>
    <b v="0"/>
    <s v="publishing/translations"/>
    <m/>
    <x v="5"/>
    <s v="translations"/>
  </r>
  <r>
    <n v="89"/>
    <s v="White, Singleton and Zimmerman"/>
    <s v="Monitored scalable knowledgebase"/>
    <n v="3400"/>
    <n v="8588"/>
    <x v="1"/>
    <n v="96"/>
    <x v="1"/>
    <s v="USD"/>
    <n v="1271307600"/>
    <n v="1271480400"/>
    <b v="0"/>
    <b v="0"/>
    <s v="theater/plays"/>
    <m/>
    <x v="3"/>
    <s v="plays"/>
  </r>
  <r>
    <n v="90"/>
    <s v="Kramer Group"/>
    <s v="Synergistic explicit parallelism"/>
    <n v="7800"/>
    <n v="6132"/>
    <x v="0"/>
    <n v="106"/>
    <x v="1"/>
    <s v="USD"/>
    <n v="1456380000"/>
    <n v="1456380000"/>
    <b v="0"/>
    <b v="1"/>
    <s v="theater/plays"/>
    <m/>
    <x v="3"/>
    <s v="plays"/>
  </r>
  <r>
    <n v="91"/>
    <s v="Frazier, Patrick and Smith"/>
    <s v="Enhanced systemic analyzer"/>
    <n v="154300"/>
    <n v="74688"/>
    <x v="0"/>
    <n v="679"/>
    <x v="6"/>
    <s v="EUR"/>
    <n v="1470459600"/>
    <n v="1472878800"/>
    <b v="0"/>
    <b v="0"/>
    <s v="publishing/translations"/>
    <m/>
    <x v="5"/>
    <s v="translations"/>
  </r>
  <r>
    <n v="92"/>
    <s v="Santos, Bell and Lloyd"/>
    <s v="Object-based analyzing knowledge user"/>
    <n v="20000"/>
    <n v="51775"/>
    <x v="1"/>
    <n v="498"/>
    <x v="5"/>
    <s v="CHF"/>
    <n v="1277269200"/>
    <n v="1277355600"/>
    <b v="0"/>
    <b v="1"/>
    <s v="games/video games"/>
    <m/>
    <x v="6"/>
    <s v="video games"/>
  </r>
  <r>
    <n v="93"/>
    <s v="Hall and Sons"/>
    <s v="Pre-emptive radical architecture"/>
    <n v="108800"/>
    <n v="65877"/>
    <x v="3"/>
    <n v="610"/>
    <x v="1"/>
    <s v="USD"/>
    <n v="1350709200"/>
    <n v="1351054800"/>
    <b v="0"/>
    <b v="1"/>
    <s v="theater/plays"/>
    <m/>
    <x v="3"/>
    <s v="plays"/>
  </r>
  <r>
    <n v="94"/>
    <s v="Hanson Inc"/>
    <s v="Grass-roots web-enabled contingency"/>
    <n v="2900"/>
    <n v="8807"/>
    <x v="1"/>
    <n v="180"/>
    <x v="4"/>
    <s v="GBP"/>
    <n v="1554613200"/>
    <n v="1555563600"/>
    <b v="0"/>
    <b v="0"/>
    <s v="technology/web"/>
    <m/>
    <x v="2"/>
    <s v="web"/>
  </r>
  <r>
    <n v="95"/>
    <s v="Sanchez LLC"/>
    <s v="Stand-alone system-worthy standardization"/>
    <n v="900"/>
    <n v="1017"/>
    <x v="1"/>
    <n v="27"/>
    <x v="1"/>
    <s v="USD"/>
    <n v="1571029200"/>
    <n v="1571634000"/>
    <b v="0"/>
    <b v="0"/>
    <s v="film &amp; video/documentary"/>
    <m/>
    <x v="4"/>
    <s v="documentary"/>
  </r>
  <r>
    <n v="96"/>
    <s v="Howard Ltd"/>
    <s v="Down-sized systematic policy"/>
    <n v="69700"/>
    <n v="151513"/>
    <x v="1"/>
    <n v="2331"/>
    <x v="1"/>
    <s v="USD"/>
    <n v="1299736800"/>
    <n v="1300856400"/>
    <b v="0"/>
    <b v="0"/>
    <s v="theater/plays"/>
    <m/>
    <x v="3"/>
    <s v="plays"/>
  </r>
  <r>
    <n v="97"/>
    <s v="Stewart LLC"/>
    <s v="Cloned bi-directional architecture"/>
    <n v="1300"/>
    <n v="12047"/>
    <x v="1"/>
    <n v="113"/>
    <x v="1"/>
    <s v="USD"/>
    <n v="1435208400"/>
    <n v="1439874000"/>
    <b v="0"/>
    <b v="0"/>
    <s v="food/food trucks"/>
    <m/>
    <x v="0"/>
    <s v="food trucks"/>
  </r>
  <r>
    <n v="98"/>
    <s v="Arias, Allen and Miller"/>
    <s v="Seamless transitional portal"/>
    <n v="97800"/>
    <n v="32951"/>
    <x v="0"/>
    <n v="1220"/>
    <x v="2"/>
    <s v="AUD"/>
    <n v="1437973200"/>
    <n v="1438318800"/>
    <b v="0"/>
    <b v="0"/>
    <s v="games/video games"/>
    <m/>
    <x v="6"/>
    <s v="video games"/>
  </r>
  <r>
    <n v="99"/>
    <s v="Baker-Morris"/>
    <s v="Fully-configurable motivating approach"/>
    <n v="7600"/>
    <n v="14951"/>
    <x v="1"/>
    <n v="164"/>
    <x v="1"/>
    <s v="USD"/>
    <n v="1416895200"/>
    <n v="1419400800"/>
    <b v="0"/>
    <b v="0"/>
    <s v="theater/plays"/>
    <m/>
    <x v="3"/>
    <s v="plays"/>
  </r>
  <r>
    <n v="100"/>
    <s v="Tucker, Fox and Green"/>
    <s v="Upgradable fault-tolerant approach"/>
    <n v="100"/>
    <n v="1"/>
    <x v="0"/>
    <n v="1"/>
    <x v="1"/>
    <s v="USD"/>
    <n v="1319000400"/>
    <n v="1320555600"/>
    <b v="0"/>
    <b v="0"/>
    <s v="theater/plays"/>
    <m/>
    <x v="3"/>
    <s v="plays"/>
  </r>
  <r>
    <n v="101"/>
    <s v="Douglas LLC"/>
    <s v="Reduced heuristic moratorium"/>
    <n v="900"/>
    <n v="9193"/>
    <x v="1"/>
    <n v="164"/>
    <x v="1"/>
    <s v="USD"/>
    <n v="1424498400"/>
    <n v="1425103200"/>
    <b v="0"/>
    <b v="1"/>
    <s v="music/electric music"/>
    <m/>
    <x v="1"/>
    <s v="electric music"/>
  </r>
  <r>
    <n v="102"/>
    <s v="Garcia Inc"/>
    <s v="Front-line web-enabled model"/>
    <n v="3700"/>
    <n v="10422"/>
    <x v="1"/>
    <n v="336"/>
    <x v="1"/>
    <s v="USD"/>
    <n v="1526274000"/>
    <n v="1526878800"/>
    <b v="0"/>
    <b v="1"/>
    <s v="technology/wearables"/>
    <m/>
    <x v="2"/>
    <s v="wearables"/>
  </r>
  <r>
    <n v="103"/>
    <s v="Frye, Hunt and Powell"/>
    <s v="Polarized incremental emulation"/>
    <n v="10000"/>
    <n v="2461"/>
    <x v="0"/>
    <n v="37"/>
    <x v="6"/>
    <s v="EUR"/>
    <n v="1287896400"/>
    <n v="1288674000"/>
    <b v="0"/>
    <b v="0"/>
    <s v="music/electric music"/>
    <m/>
    <x v="1"/>
    <s v="electric music"/>
  </r>
  <r>
    <n v="104"/>
    <s v="Smith, Wells and Nguyen"/>
    <s v="Self-enabling grid-enabled initiative"/>
    <n v="119200"/>
    <n v="170623"/>
    <x v="1"/>
    <n v="1917"/>
    <x v="1"/>
    <s v="USD"/>
    <n v="1495515600"/>
    <n v="1495602000"/>
    <b v="0"/>
    <b v="0"/>
    <s v="music/indie rock"/>
    <m/>
    <x v="1"/>
    <s v="indie rock"/>
  </r>
  <r>
    <n v="105"/>
    <s v="Charles-Johnson"/>
    <s v="Total fresh-thinking system engine"/>
    <n v="6800"/>
    <n v="9829"/>
    <x v="1"/>
    <n v="95"/>
    <x v="1"/>
    <s v="USD"/>
    <n v="1364878800"/>
    <n v="1366434000"/>
    <b v="0"/>
    <b v="0"/>
    <s v="technology/web"/>
    <m/>
    <x v="2"/>
    <s v="web"/>
  </r>
  <r>
    <n v="106"/>
    <s v="Brandt, Carter and Wood"/>
    <s v="Ameliorated clear-thinking circuit"/>
    <n v="3900"/>
    <n v="14006"/>
    <x v="1"/>
    <n v="147"/>
    <x v="1"/>
    <s v="USD"/>
    <n v="1567918800"/>
    <n v="1568350800"/>
    <b v="0"/>
    <b v="0"/>
    <s v="theater/plays"/>
    <m/>
    <x v="3"/>
    <s v="plays"/>
  </r>
  <r>
    <n v="107"/>
    <s v="Tucker, Schmidt and Reid"/>
    <s v="Multi-layered encompassing installation"/>
    <n v="3500"/>
    <n v="6527"/>
    <x v="1"/>
    <n v="86"/>
    <x v="1"/>
    <s v="USD"/>
    <n v="1524459600"/>
    <n v="1525928400"/>
    <b v="0"/>
    <b v="1"/>
    <s v="theater/plays"/>
    <m/>
    <x v="3"/>
    <s v="plays"/>
  </r>
  <r>
    <n v="108"/>
    <s v="Decker Inc"/>
    <s v="Universal encompassing implementation"/>
    <n v="1500"/>
    <n v="8929"/>
    <x v="1"/>
    <n v="83"/>
    <x v="1"/>
    <s v="USD"/>
    <n v="1333688400"/>
    <n v="1336885200"/>
    <b v="0"/>
    <b v="0"/>
    <s v="film &amp; video/documentary"/>
    <m/>
    <x v="4"/>
    <s v="documentary"/>
  </r>
  <r>
    <n v="109"/>
    <s v="Romero and Sons"/>
    <s v="Object-based client-server application"/>
    <n v="5200"/>
    <n v="3079"/>
    <x v="0"/>
    <n v="60"/>
    <x v="1"/>
    <s v="USD"/>
    <n v="1389506400"/>
    <n v="1389679200"/>
    <b v="0"/>
    <b v="0"/>
    <s v="film &amp; video/television"/>
    <m/>
    <x v="4"/>
    <s v="television"/>
  </r>
  <r>
    <n v="110"/>
    <s v="Castillo-Carey"/>
    <s v="Cross-platform solution-oriented process improvement"/>
    <n v="142400"/>
    <n v="21307"/>
    <x v="0"/>
    <n v="296"/>
    <x v="1"/>
    <s v="USD"/>
    <n v="1536642000"/>
    <n v="1538283600"/>
    <b v="0"/>
    <b v="0"/>
    <s v="food/food trucks"/>
    <m/>
    <x v="0"/>
    <s v="food trucks"/>
  </r>
  <r>
    <n v="111"/>
    <s v="Hart-Briggs"/>
    <s v="Re-engineered user-facing approach"/>
    <n v="61400"/>
    <n v="73653"/>
    <x v="1"/>
    <n v="676"/>
    <x v="1"/>
    <s v="USD"/>
    <n v="1348290000"/>
    <n v="1348808400"/>
    <b v="0"/>
    <b v="0"/>
    <s v="publishing/radio &amp; podcasts"/>
    <m/>
    <x v="5"/>
    <s v="radio &amp; podcasts"/>
  </r>
  <r>
    <n v="112"/>
    <s v="Jones-Meyer"/>
    <s v="Re-engineered client-driven hub"/>
    <n v="4700"/>
    <n v="12635"/>
    <x v="1"/>
    <n v="361"/>
    <x v="2"/>
    <s v="AUD"/>
    <n v="1408856400"/>
    <n v="1410152400"/>
    <b v="0"/>
    <b v="0"/>
    <s v="technology/web"/>
    <m/>
    <x v="2"/>
    <s v="web"/>
  </r>
  <r>
    <n v="113"/>
    <s v="Wright, Hartman and Yu"/>
    <s v="User-friendly tertiary array"/>
    <n v="3300"/>
    <n v="12437"/>
    <x v="1"/>
    <n v="131"/>
    <x v="1"/>
    <s v="USD"/>
    <n v="1505192400"/>
    <n v="1505797200"/>
    <b v="0"/>
    <b v="0"/>
    <s v="food/food trucks"/>
    <m/>
    <x v="0"/>
    <s v="food trucks"/>
  </r>
  <r>
    <n v="114"/>
    <s v="Harper-Davis"/>
    <s v="Robust heuristic encoding"/>
    <n v="1900"/>
    <n v="13816"/>
    <x v="1"/>
    <n v="126"/>
    <x v="1"/>
    <s v="USD"/>
    <n v="1554786000"/>
    <n v="1554872400"/>
    <b v="0"/>
    <b v="1"/>
    <s v="technology/wearables"/>
    <m/>
    <x v="2"/>
    <s v="wearables"/>
  </r>
  <r>
    <n v="115"/>
    <s v="Barrett PLC"/>
    <s v="Team-oriented clear-thinking capacity"/>
    <n v="166700"/>
    <n v="145382"/>
    <x v="0"/>
    <n v="3304"/>
    <x v="6"/>
    <s v="EUR"/>
    <n v="1510898400"/>
    <n v="1513922400"/>
    <b v="0"/>
    <b v="0"/>
    <s v="publishing/fiction"/>
    <m/>
    <x v="5"/>
    <s v="fiction"/>
  </r>
  <r>
    <n v="116"/>
    <s v="David-Clark"/>
    <s v="De-engineered motivating standardization"/>
    <n v="7200"/>
    <n v="6336"/>
    <x v="0"/>
    <n v="73"/>
    <x v="1"/>
    <s v="USD"/>
    <n v="1442552400"/>
    <n v="1442638800"/>
    <b v="0"/>
    <b v="0"/>
    <s v="theater/plays"/>
    <m/>
    <x v="3"/>
    <s v="plays"/>
  </r>
  <r>
    <n v="117"/>
    <s v="Chaney-Dennis"/>
    <s v="Business-focused 24hour groupware"/>
    <n v="4900"/>
    <n v="8523"/>
    <x v="1"/>
    <n v="275"/>
    <x v="1"/>
    <s v="USD"/>
    <n v="1316667600"/>
    <n v="1317186000"/>
    <b v="0"/>
    <b v="0"/>
    <s v="film &amp; video/television"/>
    <m/>
    <x v="4"/>
    <s v="television"/>
  </r>
  <r>
    <n v="118"/>
    <s v="Robinson, Lopez and Christensen"/>
    <s v="Organic next generation protocol"/>
    <n v="5400"/>
    <n v="6351"/>
    <x v="1"/>
    <n v="67"/>
    <x v="1"/>
    <s v="USD"/>
    <n v="1390716000"/>
    <n v="1391234400"/>
    <b v="0"/>
    <b v="0"/>
    <s v="photography/photography books"/>
    <m/>
    <x v="7"/>
    <s v="photography books"/>
  </r>
  <r>
    <n v="119"/>
    <s v="Clark and Sons"/>
    <s v="Reverse-engineered full-range Internet solution"/>
    <n v="5000"/>
    <n v="10748"/>
    <x v="1"/>
    <n v="154"/>
    <x v="1"/>
    <s v="USD"/>
    <n v="1402894800"/>
    <n v="1404363600"/>
    <b v="0"/>
    <b v="1"/>
    <s v="film &amp; video/documentary"/>
    <m/>
    <x v="4"/>
    <s v="documentary"/>
  </r>
  <r>
    <n v="120"/>
    <s v="Vega Group"/>
    <s v="Synchronized regional synergy"/>
    <n v="75100"/>
    <n v="112272"/>
    <x v="1"/>
    <n v="1782"/>
    <x v="1"/>
    <s v="USD"/>
    <n v="1429246800"/>
    <n v="1429592400"/>
    <b v="0"/>
    <b v="1"/>
    <s v="games/mobile games"/>
    <m/>
    <x v="6"/>
    <s v="mobile games"/>
  </r>
  <r>
    <n v="121"/>
    <s v="Brown-Brown"/>
    <s v="Multi-lateral homogeneous success"/>
    <n v="45300"/>
    <n v="99361"/>
    <x v="1"/>
    <n v="903"/>
    <x v="1"/>
    <s v="USD"/>
    <n v="1412485200"/>
    <n v="1413608400"/>
    <b v="0"/>
    <b v="0"/>
    <s v="games/video games"/>
    <m/>
    <x v="6"/>
    <s v="video games"/>
  </r>
  <r>
    <n v="122"/>
    <s v="Taylor PLC"/>
    <s v="Seamless zero-defect solution"/>
    <n v="136800"/>
    <n v="88055"/>
    <x v="0"/>
    <n v="3387"/>
    <x v="1"/>
    <s v="USD"/>
    <n v="1417068000"/>
    <n v="1419400800"/>
    <b v="0"/>
    <b v="0"/>
    <s v="publishing/fiction"/>
    <m/>
    <x v="5"/>
    <s v="fiction"/>
  </r>
  <r>
    <n v="123"/>
    <s v="Edwards-Lewis"/>
    <s v="Enhanced scalable concept"/>
    <n v="177700"/>
    <n v="33092"/>
    <x v="0"/>
    <n v="662"/>
    <x v="0"/>
    <s v="CAD"/>
    <n v="1448344800"/>
    <n v="1448604000"/>
    <b v="1"/>
    <b v="0"/>
    <s v="theater/plays"/>
    <m/>
    <x v="3"/>
    <s v="plays"/>
  </r>
  <r>
    <n v="124"/>
    <s v="Stanton, Neal and Rodriguez"/>
    <s v="Polarized uniform software"/>
    <n v="2600"/>
    <n v="9562"/>
    <x v="1"/>
    <n v="94"/>
    <x v="6"/>
    <s v="EUR"/>
    <n v="1557723600"/>
    <n v="1562302800"/>
    <b v="0"/>
    <b v="0"/>
    <s v="photography/photography books"/>
    <m/>
    <x v="7"/>
    <s v="photography books"/>
  </r>
  <r>
    <n v="125"/>
    <s v="Pratt LLC"/>
    <s v="Stand-alone web-enabled moderator"/>
    <n v="5300"/>
    <n v="8475"/>
    <x v="1"/>
    <n v="180"/>
    <x v="1"/>
    <s v="USD"/>
    <n v="1537333200"/>
    <n v="1537678800"/>
    <b v="0"/>
    <b v="0"/>
    <s v="theater/plays"/>
    <m/>
    <x v="3"/>
    <s v="plays"/>
  </r>
  <r>
    <n v="126"/>
    <s v="Gross PLC"/>
    <s v="Proactive methodical benchmark"/>
    <n v="180200"/>
    <n v="69617"/>
    <x v="0"/>
    <n v="774"/>
    <x v="1"/>
    <s v="USD"/>
    <n v="1471150800"/>
    <n v="1473570000"/>
    <b v="0"/>
    <b v="1"/>
    <s v="theater/plays"/>
    <m/>
    <x v="3"/>
    <s v="plays"/>
  </r>
  <r>
    <n v="127"/>
    <s v="Martinez, Gomez and Dalton"/>
    <s v="Team-oriented 6thgeneration matrix"/>
    <n v="103200"/>
    <n v="53067"/>
    <x v="0"/>
    <n v="672"/>
    <x v="0"/>
    <s v="CAD"/>
    <n v="1273640400"/>
    <n v="1273899600"/>
    <b v="0"/>
    <b v="0"/>
    <s v="theater/plays"/>
    <m/>
    <x v="3"/>
    <s v="plays"/>
  </r>
  <r>
    <n v="128"/>
    <s v="Allen-Curtis"/>
    <s v="Phased human-resource core"/>
    <n v="70600"/>
    <n v="42596"/>
    <x v="3"/>
    <n v="532"/>
    <x v="1"/>
    <s v="USD"/>
    <n v="1282885200"/>
    <n v="1284008400"/>
    <b v="0"/>
    <b v="0"/>
    <s v="music/rock"/>
    <m/>
    <x v="1"/>
    <s v="rock"/>
  </r>
  <r>
    <n v="129"/>
    <s v="Morgan-Martinez"/>
    <s v="Mandatory tertiary implementation"/>
    <n v="148500"/>
    <n v="4756"/>
    <x v="3"/>
    <n v="55"/>
    <x v="2"/>
    <s v="AUD"/>
    <n v="1422943200"/>
    <n v="1425103200"/>
    <b v="0"/>
    <b v="0"/>
    <s v="food/food trucks"/>
    <m/>
    <x v="0"/>
    <s v="food trucks"/>
  </r>
  <r>
    <n v="130"/>
    <s v="Luna, Anderson and Fox"/>
    <s v="Secured directional encryption"/>
    <n v="9600"/>
    <n v="14925"/>
    <x v="1"/>
    <n v="533"/>
    <x v="3"/>
    <s v="DKK"/>
    <n v="1319605200"/>
    <n v="1320991200"/>
    <b v="0"/>
    <b v="0"/>
    <s v="film &amp; video/drama"/>
    <m/>
    <x v="4"/>
    <s v="drama"/>
  </r>
  <r>
    <n v="131"/>
    <s v="Fleming, Zhang and Henderson"/>
    <s v="Distributed 5thgeneration implementation"/>
    <n v="164700"/>
    <n v="166116"/>
    <x v="1"/>
    <n v="2443"/>
    <x v="4"/>
    <s v="GBP"/>
    <n v="1385704800"/>
    <n v="1386828000"/>
    <b v="0"/>
    <b v="0"/>
    <s v="technology/web"/>
    <m/>
    <x v="2"/>
    <s v="web"/>
  </r>
  <r>
    <n v="132"/>
    <s v="Flowers and Sons"/>
    <s v="Virtual static core"/>
    <n v="3300"/>
    <n v="3834"/>
    <x v="1"/>
    <n v="89"/>
    <x v="1"/>
    <s v="USD"/>
    <n v="1515736800"/>
    <n v="1517119200"/>
    <b v="0"/>
    <b v="1"/>
    <s v="theater/plays"/>
    <m/>
    <x v="3"/>
    <s v="plays"/>
  </r>
  <r>
    <n v="133"/>
    <s v="Gates PLC"/>
    <s v="Secured content-based product"/>
    <n v="4500"/>
    <n v="13985"/>
    <x v="1"/>
    <n v="159"/>
    <x v="1"/>
    <s v="USD"/>
    <n v="1313125200"/>
    <n v="1315026000"/>
    <b v="0"/>
    <b v="0"/>
    <s v="music/world music"/>
    <m/>
    <x v="1"/>
    <s v="world music"/>
  </r>
  <r>
    <n v="134"/>
    <s v="Caldwell LLC"/>
    <s v="Secured executive concept"/>
    <n v="99500"/>
    <n v="89288"/>
    <x v="0"/>
    <n v="940"/>
    <x v="5"/>
    <s v="CHF"/>
    <n v="1308459600"/>
    <n v="1312693200"/>
    <b v="0"/>
    <b v="1"/>
    <s v="film &amp; video/documentary"/>
    <m/>
    <x v="4"/>
    <s v="documentary"/>
  </r>
  <r>
    <n v="135"/>
    <s v="Le, Burton and Evans"/>
    <s v="Balanced zero-defect software"/>
    <n v="7700"/>
    <n v="5488"/>
    <x v="0"/>
    <n v="117"/>
    <x v="1"/>
    <s v="USD"/>
    <n v="1362636000"/>
    <n v="1363064400"/>
    <b v="0"/>
    <b v="1"/>
    <s v="theater/plays"/>
    <m/>
    <x v="3"/>
    <s v="plays"/>
  </r>
  <r>
    <n v="136"/>
    <s v="Briggs PLC"/>
    <s v="Distributed context-sensitive flexibility"/>
    <n v="82800"/>
    <n v="2721"/>
    <x v="3"/>
    <n v="58"/>
    <x v="1"/>
    <s v="USD"/>
    <n v="1402117200"/>
    <n v="1403154000"/>
    <b v="0"/>
    <b v="1"/>
    <s v="film &amp; video/drama"/>
    <m/>
    <x v="4"/>
    <s v="drama"/>
  </r>
  <r>
    <n v="137"/>
    <s v="Hudson-Nguyen"/>
    <s v="Down-sized disintermediate support"/>
    <n v="1800"/>
    <n v="4712"/>
    <x v="1"/>
    <n v="50"/>
    <x v="1"/>
    <s v="USD"/>
    <n v="1286341200"/>
    <n v="1286859600"/>
    <b v="0"/>
    <b v="0"/>
    <s v="publishing/nonfiction"/>
    <m/>
    <x v="5"/>
    <s v="nonfiction"/>
  </r>
  <r>
    <n v="138"/>
    <s v="Hogan Ltd"/>
    <s v="Stand-alone mission-critical moratorium"/>
    <n v="9600"/>
    <n v="9216"/>
    <x v="0"/>
    <n v="115"/>
    <x v="1"/>
    <s v="USD"/>
    <n v="1348808400"/>
    <n v="1349326800"/>
    <b v="0"/>
    <b v="0"/>
    <s v="games/mobile games"/>
    <m/>
    <x v="6"/>
    <s v="mobile games"/>
  </r>
  <r>
    <n v="139"/>
    <s v="Hamilton, Wright and Chavez"/>
    <s v="Down-sized empowering protocol"/>
    <n v="92100"/>
    <n v="19246"/>
    <x v="0"/>
    <n v="326"/>
    <x v="1"/>
    <s v="USD"/>
    <n v="1429592400"/>
    <n v="1430974800"/>
    <b v="0"/>
    <b v="1"/>
    <s v="technology/wearables"/>
    <m/>
    <x v="2"/>
    <s v="wearables"/>
  </r>
  <r>
    <n v="140"/>
    <s v="Bautista-Cross"/>
    <s v="Fully-configurable coherent Internet solution"/>
    <n v="5500"/>
    <n v="12274"/>
    <x v="1"/>
    <n v="186"/>
    <x v="1"/>
    <s v="USD"/>
    <n v="1519538400"/>
    <n v="1519970400"/>
    <b v="0"/>
    <b v="0"/>
    <s v="film &amp; video/documentary"/>
    <m/>
    <x v="4"/>
    <s v="documentary"/>
  </r>
  <r>
    <n v="141"/>
    <s v="Jackson LLC"/>
    <s v="Distributed motivating algorithm"/>
    <n v="64300"/>
    <n v="65323"/>
    <x v="1"/>
    <n v="1071"/>
    <x v="1"/>
    <s v="USD"/>
    <n v="1434085200"/>
    <n v="1434603600"/>
    <b v="0"/>
    <b v="0"/>
    <s v="technology/web"/>
    <m/>
    <x v="2"/>
    <s v="web"/>
  </r>
  <r>
    <n v="142"/>
    <s v="Figueroa Ltd"/>
    <s v="Expanded solution-oriented benchmark"/>
    <n v="5000"/>
    <n v="11502"/>
    <x v="1"/>
    <n v="117"/>
    <x v="1"/>
    <s v="USD"/>
    <n v="1333688400"/>
    <n v="1337230800"/>
    <b v="0"/>
    <b v="0"/>
    <s v="technology/web"/>
    <m/>
    <x v="2"/>
    <s v="web"/>
  </r>
  <r>
    <n v="143"/>
    <s v="Avila-Jones"/>
    <s v="Implemented discrete secured line"/>
    <n v="5400"/>
    <n v="7322"/>
    <x v="1"/>
    <n v="70"/>
    <x v="1"/>
    <s v="USD"/>
    <n v="1277701200"/>
    <n v="1279429200"/>
    <b v="0"/>
    <b v="0"/>
    <s v="music/indie rock"/>
    <m/>
    <x v="1"/>
    <s v="indie rock"/>
  </r>
  <r>
    <n v="144"/>
    <s v="Martin, Lopez and Hunter"/>
    <s v="Multi-lateral actuating installation"/>
    <n v="9000"/>
    <n v="11619"/>
    <x v="1"/>
    <n v="135"/>
    <x v="1"/>
    <s v="USD"/>
    <n v="1560747600"/>
    <n v="1561438800"/>
    <b v="0"/>
    <b v="0"/>
    <s v="theater/plays"/>
    <m/>
    <x v="3"/>
    <s v="plays"/>
  </r>
  <r>
    <n v="145"/>
    <s v="Fields-Moore"/>
    <s v="Secured reciprocal array"/>
    <n v="25000"/>
    <n v="59128"/>
    <x v="1"/>
    <n v="768"/>
    <x v="5"/>
    <s v="CHF"/>
    <n v="1410066000"/>
    <n v="1410498000"/>
    <b v="0"/>
    <b v="0"/>
    <s v="technology/wearables"/>
    <m/>
    <x v="2"/>
    <s v="wearables"/>
  </r>
  <r>
    <n v="146"/>
    <s v="Harris-Golden"/>
    <s v="Optional bandwidth-monitored middleware"/>
    <n v="8800"/>
    <n v="1518"/>
    <x v="3"/>
    <n v="51"/>
    <x v="1"/>
    <s v="USD"/>
    <n v="1320732000"/>
    <n v="1322460000"/>
    <b v="0"/>
    <b v="0"/>
    <s v="theater/plays"/>
    <m/>
    <x v="3"/>
    <s v="plays"/>
  </r>
  <r>
    <n v="147"/>
    <s v="Moss, Norman and Dunlap"/>
    <s v="Upgradable upward-trending workforce"/>
    <n v="8300"/>
    <n v="9337"/>
    <x v="1"/>
    <n v="199"/>
    <x v="1"/>
    <s v="USD"/>
    <n v="1465794000"/>
    <n v="1466312400"/>
    <b v="0"/>
    <b v="1"/>
    <s v="theater/plays"/>
    <m/>
    <x v="3"/>
    <s v="plays"/>
  </r>
  <r>
    <n v="148"/>
    <s v="White, Larson and Wright"/>
    <s v="Upgradable hybrid capability"/>
    <n v="9300"/>
    <n v="11255"/>
    <x v="1"/>
    <n v="107"/>
    <x v="1"/>
    <s v="USD"/>
    <n v="1500958800"/>
    <n v="1501736400"/>
    <b v="0"/>
    <b v="0"/>
    <s v="technology/wearables"/>
    <m/>
    <x v="2"/>
    <s v="wearables"/>
  </r>
  <r>
    <n v="149"/>
    <s v="Payne, Oliver and Burch"/>
    <s v="Managed fresh-thinking flexibility"/>
    <n v="6200"/>
    <n v="13632"/>
    <x v="1"/>
    <n v="195"/>
    <x v="1"/>
    <s v="USD"/>
    <n v="1357020000"/>
    <n v="1361512800"/>
    <b v="0"/>
    <b v="0"/>
    <s v="music/indie rock"/>
    <m/>
    <x v="1"/>
    <s v="indie rock"/>
  </r>
  <r>
    <n v="150"/>
    <s v="Brown, Palmer and Pace"/>
    <s v="Networked stable workforce"/>
    <n v="100"/>
    <n v="1"/>
    <x v="0"/>
    <n v="1"/>
    <x v="1"/>
    <s v="USD"/>
    <n v="1544940000"/>
    <n v="1545026400"/>
    <b v="0"/>
    <b v="0"/>
    <s v="music/rock"/>
    <m/>
    <x v="1"/>
    <s v="rock"/>
  </r>
  <r>
    <n v="151"/>
    <s v="Parker LLC"/>
    <s v="Customizable intermediate extranet"/>
    <n v="137200"/>
    <n v="88037"/>
    <x v="0"/>
    <n v="1467"/>
    <x v="1"/>
    <s v="USD"/>
    <n v="1402290000"/>
    <n v="1406696400"/>
    <b v="0"/>
    <b v="0"/>
    <s v="music/electric music"/>
    <m/>
    <x v="1"/>
    <s v="electric music"/>
  </r>
  <r>
    <n v="152"/>
    <s v="Bowen, Mcdonald and Hall"/>
    <s v="User-centric fault-tolerant task-force"/>
    <n v="41500"/>
    <n v="175573"/>
    <x v="1"/>
    <n v="3376"/>
    <x v="1"/>
    <s v="USD"/>
    <n v="1487311200"/>
    <n v="1487916000"/>
    <b v="0"/>
    <b v="0"/>
    <s v="music/indie rock"/>
    <m/>
    <x v="1"/>
    <s v="indie rock"/>
  </r>
  <r>
    <n v="153"/>
    <s v="Whitehead, Bell and Hughes"/>
    <s v="Multi-tiered radical definition"/>
    <n v="189400"/>
    <n v="176112"/>
    <x v="0"/>
    <n v="5681"/>
    <x v="1"/>
    <s v="USD"/>
    <n v="1350622800"/>
    <n v="1351141200"/>
    <b v="0"/>
    <b v="0"/>
    <s v="theater/plays"/>
    <m/>
    <x v="3"/>
    <s v="plays"/>
  </r>
  <r>
    <n v="154"/>
    <s v="Rodriguez-Brown"/>
    <s v="Devolved foreground benchmark"/>
    <n v="171300"/>
    <n v="100650"/>
    <x v="0"/>
    <n v="1059"/>
    <x v="1"/>
    <s v="USD"/>
    <n v="1463029200"/>
    <n v="1465016400"/>
    <b v="0"/>
    <b v="1"/>
    <s v="music/indie rock"/>
    <m/>
    <x v="1"/>
    <s v="indie rock"/>
  </r>
  <r>
    <n v="155"/>
    <s v="Hall-Schaefer"/>
    <s v="Distributed eco-centric methodology"/>
    <n v="139500"/>
    <n v="90706"/>
    <x v="0"/>
    <n v="1194"/>
    <x v="1"/>
    <s v="USD"/>
    <n v="1269493200"/>
    <n v="1270789200"/>
    <b v="0"/>
    <b v="0"/>
    <s v="theater/plays"/>
    <m/>
    <x v="3"/>
    <s v="plays"/>
  </r>
  <r>
    <n v="156"/>
    <s v="Meza-Rogers"/>
    <s v="Streamlined encompassing encryption"/>
    <n v="36400"/>
    <n v="26914"/>
    <x v="3"/>
    <n v="379"/>
    <x v="2"/>
    <s v="AUD"/>
    <n v="1570251600"/>
    <n v="1572325200"/>
    <b v="0"/>
    <b v="0"/>
    <s v="music/rock"/>
    <m/>
    <x v="1"/>
    <s v="rock"/>
  </r>
  <r>
    <n v="157"/>
    <s v="Curtis-Curtis"/>
    <s v="User-friendly reciprocal initiative"/>
    <n v="4200"/>
    <n v="2212"/>
    <x v="0"/>
    <n v="30"/>
    <x v="2"/>
    <s v="AUD"/>
    <n v="1388383200"/>
    <n v="1389420000"/>
    <b v="0"/>
    <b v="0"/>
    <s v="photography/photography books"/>
    <m/>
    <x v="7"/>
    <s v="photography books"/>
  </r>
  <r>
    <n v="158"/>
    <s v="Carlson Inc"/>
    <s v="Ergonomic fresh-thinking installation"/>
    <n v="2100"/>
    <n v="4640"/>
    <x v="1"/>
    <n v="41"/>
    <x v="1"/>
    <s v="USD"/>
    <n v="1449554400"/>
    <n v="1449640800"/>
    <b v="0"/>
    <b v="0"/>
    <s v="music/rock"/>
    <m/>
    <x v="1"/>
    <s v="rock"/>
  </r>
  <r>
    <n v="159"/>
    <s v="Clarke, Anderson and Lee"/>
    <s v="Robust explicit hardware"/>
    <n v="191200"/>
    <n v="191222"/>
    <x v="1"/>
    <n v="1821"/>
    <x v="1"/>
    <s v="USD"/>
    <n v="1553662800"/>
    <n v="1555218000"/>
    <b v="0"/>
    <b v="1"/>
    <s v="theater/plays"/>
    <m/>
    <x v="3"/>
    <s v="plays"/>
  </r>
  <r>
    <n v="160"/>
    <s v="Evans Group"/>
    <s v="Stand-alone actuating support"/>
    <n v="8000"/>
    <n v="12985"/>
    <x v="1"/>
    <n v="164"/>
    <x v="1"/>
    <s v="USD"/>
    <n v="1556341200"/>
    <n v="1557723600"/>
    <b v="0"/>
    <b v="0"/>
    <s v="technology/wearables"/>
    <m/>
    <x v="2"/>
    <s v="wearables"/>
  </r>
  <r>
    <n v="161"/>
    <s v="Bruce Group"/>
    <s v="Cross-platform methodical process improvement"/>
    <n v="5500"/>
    <n v="4300"/>
    <x v="0"/>
    <n v="75"/>
    <x v="1"/>
    <s v="USD"/>
    <n v="1442984400"/>
    <n v="1443502800"/>
    <b v="0"/>
    <b v="1"/>
    <s v="technology/web"/>
    <m/>
    <x v="2"/>
    <s v="web"/>
  </r>
  <r>
    <n v="162"/>
    <s v="Keith, Alvarez and Potter"/>
    <s v="Extended bottom-line open architecture"/>
    <n v="6100"/>
    <n v="9134"/>
    <x v="1"/>
    <n v="157"/>
    <x v="5"/>
    <s v="CHF"/>
    <n v="1544248800"/>
    <n v="1546840800"/>
    <b v="0"/>
    <b v="0"/>
    <s v="music/rock"/>
    <m/>
    <x v="1"/>
    <s v="rock"/>
  </r>
  <r>
    <n v="163"/>
    <s v="Burton-Watkins"/>
    <s v="Extended reciprocal circuit"/>
    <n v="3500"/>
    <n v="8864"/>
    <x v="1"/>
    <n v="246"/>
    <x v="1"/>
    <s v="USD"/>
    <n v="1508475600"/>
    <n v="1512712800"/>
    <b v="0"/>
    <b v="1"/>
    <s v="photography/photography books"/>
    <m/>
    <x v="7"/>
    <s v="photography books"/>
  </r>
  <r>
    <n v="164"/>
    <s v="Lopez and Sons"/>
    <s v="Polarized human-resource protocol"/>
    <n v="150500"/>
    <n v="150755"/>
    <x v="1"/>
    <n v="1396"/>
    <x v="1"/>
    <s v="USD"/>
    <n v="1507438800"/>
    <n v="1507525200"/>
    <b v="0"/>
    <b v="0"/>
    <s v="theater/plays"/>
    <m/>
    <x v="3"/>
    <s v="plays"/>
  </r>
  <r>
    <n v="165"/>
    <s v="Cordova Ltd"/>
    <s v="Synergized radical product"/>
    <n v="90400"/>
    <n v="110279"/>
    <x v="1"/>
    <n v="2506"/>
    <x v="1"/>
    <s v="USD"/>
    <n v="1501563600"/>
    <n v="1504328400"/>
    <b v="0"/>
    <b v="0"/>
    <s v="technology/web"/>
    <m/>
    <x v="2"/>
    <s v="web"/>
  </r>
  <r>
    <n v="166"/>
    <s v="Brown-Vang"/>
    <s v="Robust heuristic artificial intelligence"/>
    <n v="9800"/>
    <n v="13439"/>
    <x v="1"/>
    <n v="244"/>
    <x v="1"/>
    <s v="USD"/>
    <n v="1292997600"/>
    <n v="1293343200"/>
    <b v="0"/>
    <b v="0"/>
    <s v="photography/photography books"/>
    <m/>
    <x v="7"/>
    <s v="photography books"/>
  </r>
  <r>
    <n v="167"/>
    <s v="Cruz-Ward"/>
    <s v="Robust content-based emulation"/>
    <n v="2600"/>
    <n v="10804"/>
    <x v="1"/>
    <n v="146"/>
    <x v="2"/>
    <s v="AUD"/>
    <n v="1370840400"/>
    <n v="1371704400"/>
    <b v="0"/>
    <b v="0"/>
    <s v="theater/plays"/>
    <m/>
    <x v="3"/>
    <s v="plays"/>
  </r>
  <r>
    <n v="168"/>
    <s v="Hernandez Group"/>
    <s v="Ergonomic uniform open system"/>
    <n v="128100"/>
    <n v="40107"/>
    <x v="0"/>
    <n v="955"/>
    <x v="3"/>
    <s v="DKK"/>
    <n v="1550815200"/>
    <n v="1552798800"/>
    <b v="0"/>
    <b v="1"/>
    <s v="music/indie rock"/>
    <m/>
    <x v="1"/>
    <s v="indie rock"/>
  </r>
  <r>
    <n v="169"/>
    <s v="Tran, Steele and Wilson"/>
    <s v="Profit-focused modular product"/>
    <n v="23300"/>
    <n v="98811"/>
    <x v="1"/>
    <n v="1267"/>
    <x v="1"/>
    <s v="USD"/>
    <n v="1339909200"/>
    <n v="1342328400"/>
    <b v="0"/>
    <b v="1"/>
    <s v="film &amp; video/shorts"/>
    <m/>
    <x v="4"/>
    <s v="shorts"/>
  </r>
  <r>
    <n v="170"/>
    <s v="Summers, Gallegos and Stein"/>
    <s v="Mandatory mobile product"/>
    <n v="188100"/>
    <n v="5528"/>
    <x v="0"/>
    <n v="67"/>
    <x v="1"/>
    <s v="USD"/>
    <n v="1501736400"/>
    <n v="1502341200"/>
    <b v="0"/>
    <b v="0"/>
    <s v="music/indie rock"/>
    <m/>
    <x v="1"/>
    <s v="indie rock"/>
  </r>
  <r>
    <n v="171"/>
    <s v="Blair Group"/>
    <s v="Public-key 3rdgeneration budgetary management"/>
    <n v="4900"/>
    <n v="521"/>
    <x v="0"/>
    <n v="5"/>
    <x v="1"/>
    <s v="USD"/>
    <n v="1395291600"/>
    <n v="1397192400"/>
    <b v="0"/>
    <b v="0"/>
    <s v="publishing/translations"/>
    <m/>
    <x v="5"/>
    <s v="translations"/>
  </r>
  <r>
    <n v="172"/>
    <s v="Nixon Inc"/>
    <s v="Centralized national firmware"/>
    <n v="800"/>
    <n v="663"/>
    <x v="0"/>
    <n v="26"/>
    <x v="1"/>
    <s v="USD"/>
    <n v="1405746000"/>
    <n v="1407042000"/>
    <b v="0"/>
    <b v="1"/>
    <s v="film &amp; video/documentary"/>
    <m/>
    <x v="4"/>
    <s v="documentary"/>
  </r>
  <r>
    <n v="173"/>
    <s v="White LLC"/>
    <s v="Cross-group 4thgeneration middleware"/>
    <n v="96700"/>
    <n v="157635"/>
    <x v="1"/>
    <n v="1561"/>
    <x v="1"/>
    <s v="USD"/>
    <n v="1368853200"/>
    <n v="1369371600"/>
    <b v="0"/>
    <b v="0"/>
    <s v="theater/plays"/>
    <m/>
    <x v="3"/>
    <s v="plays"/>
  </r>
  <r>
    <n v="174"/>
    <s v="Santos, Black and Donovan"/>
    <s v="Pre-emptive scalable access"/>
    <n v="600"/>
    <n v="5368"/>
    <x v="1"/>
    <n v="48"/>
    <x v="1"/>
    <s v="USD"/>
    <n v="1444021200"/>
    <n v="1444107600"/>
    <b v="0"/>
    <b v="1"/>
    <s v="technology/wearables"/>
    <m/>
    <x v="2"/>
    <s v="wearables"/>
  </r>
  <r>
    <n v="175"/>
    <s v="Jones, Contreras and Burnett"/>
    <s v="Sharable intangible migration"/>
    <n v="181200"/>
    <n v="47459"/>
    <x v="0"/>
    <n v="1130"/>
    <x v="1"/>
    <s v="USD"/>
    <n v="1472619600"/>
    <n v="1474261200"/>
    <b v="0"/>
    <b v="0"/>
    <s v="theater/plays"/>
    <m/>
    <x v="3"/>
    <s v="plays"/>
  </r>
  <r>
    <n v="176"/>
    <s v="Stone-Orozco"/>
    <s v="Proactive scalable Graphical User Interface"/>
    <n v="115000"/>
    <n v="86060"/>
    <x v="0"/>
    <n v="782"/>
    <x v="1"/>
    <s v="USD"/>
    <n v="1472878800"/>
    <n v="1473656400"/>
    <b v="0"/>
    <b v="0"/>
    <s v="theater/plays"/>
    <m/>
    <x v="3"/>
    <s v="plays"/>
  </r>
  <r>
    <n v="177"/>
    <s v="Lee, Gibson and Morgan"/>
    <s v="Digitized solution-oriented product"/>
    <n v="38800"/>
    <n v="161593"/>
    <x v="1"/>
    <n v="2739"/>
    <x v="1"/>
    <s v="USD"/>
    <n v="1289800800"/>
    <n v="1291960800"/>
    <b v="0"/>
    <b v="0"/>
    <s v="theater/plays"/>
    <m/>
    <x v="3"/>
    <s v="plays"/>
  </r>
  <r>
    <n v="178"/>
    <s v="Alexander-Williams"/>
    <s v="Triple-buffered cohesive structure"/>
    <n v="7200"/>
    <n v="6927"/>
    <x v="0"/>
    <n v="210"/>
    <x v="1"/>
    <s v="USD"/>
    <n v="1505970000"/>
    <n v="1506747600"/>
    <b v="0"/>
    <b v="0"/>
    <s v="food/food trucks"/>
    <m/>
    <x v="0"/>
    <s v="food trucks"/>
  </r>
  <r>
    <n v="179"/>
    <s v="Marks Ltd"/>
    <s v="Realigned human-resource orchestration"/>
    <n v="44500"/>
    <n v="159185"/>
    <x v="1"/>
    <n v="3537"/>
    <x v="0"/>
    <s v="CAD"/>
    <n v="1363496400"/>
    <n v="1363582800"/>
    <b v="0"/>
    <b v="1"/>
    <s v="theater/plays"/>
    <m/>
    <x v="3"/>
    <s v="plays"/>
  </r>
  <r>
    <n v="180"/>
    <s v="Olsen, Edwards and Reid"/>
    <s v="Optional clear-thinking software"/>
    <n v="56000"/>
    <n v="172736"/>
    <x v="1"/>
    <n v="2107"/>
    <x v="2"/>
    <s v="AUD"/>
    <n v="1269234000"/>
    <n v="1269666000"/>
    <b v="0"/>
    <b v="0"/>
    <s v="technology/wearables"/>
    <m/>
    <x v="2"/>
    <s v="wearables"/>
  </r>
  <r>
    <n v="181"/>
    <s v="Daniels, Rose and Tyler"/>
    <s v="Centralized global approach"/>
    <n v="8600"/>
    <n v="5315"/>
    <x v="0"/>
    <n v="136"/>
    <x v="1"/>
    <s v="USD"/>
    <n v="1507093200"/>
    <n v="1508648400"/>
    <b v="0"/>
    <b v="0"/>
    <s v="technology/web"/>
    <m/>
    <x v="2"/>
    <s v="web"/>
  </r>
  <r>
    <n v="182"/>
    <s v="Adams Group"/>
    <s v="Reverse-engineered bandwidth-monitored contingency"/>
    <n v="27100"/>
    <n v="195750"/>
    <x v="1"/>
    <n v="3318"/>
    <x v="3"/>
    <s v="DKK"/>
    <n v="1560574800"/>
    <n v="1561957200"/>
    <b v="0"/>
    <b v="0"/>
    <s v="theater/plays"/>
    <m/>
    <x v="3"/>
    <s v="plays"/>
  </r>
  <r>
    <n v="183"/>
    <s v="Rogers, Huerta and Medina"/>
    <s v="Pre-emptive bandwidth-monitored instruction set"/>
    <n v="5100"/>
    <n v="3525"/>
    <x v="0"/>
    <n v="86"/>
    <x v="0"/>
    <s v="CAD"/>
    <n v="1284008400"/>
    <n v="1285131600"/>
    <b v="0"/>
    <b v="0"/>
    <s v="music/rock"/>
    <m/>
    <x v="1"/>
    <s v="rock"/>
  </r>
  <r>
    <n v="184"/>
    <s v="Howard, Carter and Griffith"/>
    <s v="Adaptive asynchronous emulation"/>
    <n v="3600"/>
    <n v="10550"/>
    <x v="1"/>
    <n v="340"/>
    <x v="1"/>
    <s v="USD"/>
    <n v="1556859600"/>
    <n v="1556946000"/>
    <b v="0"/>
    <b v="0"/>
    <s v="theater/plays"/>
    <m/>
    <x v="3"/>
    <s v="plays"/>
  </r>
  <r>
    <n v="185"/>
    <s v="Bailey PLC"/>
    <s v="Innovative actuating conglomeration"/>
    <n v="1000"/>
    <n v="718"/>
    <x v="0"/>
    <n v="19"/>
    <x v="1"/>
    <s v="USD"/>
    <n v="1526187600"/>
    <n v="1527138000"/>
    <b v="0"/>
    <b v="0"/>
    <s v="film &amp; video/television"/>
    <m/>
    <x v="4"/>
    <s v="television"/>
  </r>
  <r>
    <n v="186"/>
    <s v="Parker Group"/>
    <s v="Grass-roots foreground policy"/>
    <n v="88800"/>
    <n v="28358"/>
    <x v="0"/>
    <n v="886"/>
    <x v="1"/>
    <s v="USD"/>
    <n v="1400821200"/>
    <n v="1402117200"/>
    <b v="0"/>
    <b v="0"/>
    <s v="theater/plays"/>
    <m/>
    <x v="3"/>
    <s v="plays"/>
  </r>
  <r>
    <n v="187"/>
    <s v="Fox Group"/>
    <s v="Horizontal transitional paradigm"/>
    <n v="60200"/>
    <n v="138384"/>
    <x v="1"/>
    <n v="1442"/>
    <x v="0"/>
    <s v="CAD"/>
    <n v="1361599200"/>
    <n v="1364014800"/>
    <b v="0"/>
    <b v="1"/>
    <s v="film &amp; video/shorts"/>
    <m/>
    <x v="4"/>
    <s v="shorts"/>
  </r>
  <r>
    <n v="188"/>
    <s v="Walker, Jones and Rodriguez"/>
    <s v="Networked didactic info-mediaries"/>
    <n v="8200"/>
    <n v="2625"/>
    <x v="0"/>
    <n v="35"/>
    <x v="6"/>
    <s v="EUR"/>
    <n v="1417500000"/>
    <n v="1417586400"/>
    <b v="0"/>
    <b v="0"/>
    <s v="theater/plays"/>
    <m/>
    <x v="3"/>
    <s v="plays"/>
  </r>
  <r>
    <n v="189"/>
    <s v="Anthony-Shaw"/>
    <s v="Switchable contextually-based access"/>
    <n v="191300"/>
    <n v="45004"/>
    <x v="3"/>
    <n v="441"/>
    <x v="1"/>
    <s v="USD"/>
    <n v="1457071200"/>
    <n v="1457071200"/>
    <b v="0"/>
    <b v="0"/>
    <s v="theater/plays"/>
    <m/>
    <x v="3"/>
    <s v="plays"/>
  </r>
  <r>
    <n v="190"/>
    <s v="Cook LLC"/>
    <s v="Up-sized dynamic throughput"/>
    <n v="3700"/>
    <n v="2538"/>
    <x v="0"/>
    <n v="24"/>
    <x v="1"/>
    <s v="USD"/>
    <n v="1370322000"/>
    <n v="1370408400"/>
    <b v="0"/>
    <b v="1"/>
    <s v="theater/plays"/>
    <m/>
    <x v="3"/>
    <s v="plays"/>
  </r>
  <r>
    <n v="191"/>
    <s v="Sutton PLC"/>
    <s v="Mandatory reciprocal superstructure"/>
    <n v="8400"/>
    <n v="3188"/>
    <x v="0"/>
    <n v="86"/>
    <x v="6"/>
    <s v="EUR"/>
    <n v="1552366800"/>
    <n v="1552626000"/>
    <b v="0"/>
    <b v="0"/>
    <s v="theater/plays"/>
    <m/>
    <x v="3"/>
    <s v="plays"/>
  </r>
  <r>
    <n v="192"/>
    <s v="Long, Morgan and Mitchell"/>
    <s v="Upgradable 4thgeneration productivity"/>
    <n v="42600"/>
    <n v="8517"/>
    <x v="0"/>
    <n v="243"/>
    <x v="1"/>
    <s v="USD"/>
    <n v="1403845200"/>
    <n v="1404190800"/>
    <b v="0"/>
    <b v="0"/>
    <s v="music/rock"/>
    <m/>
    <x v="1"/>
    <s v="rock"/>
  </r>
  <r>
    <n v="193"/>
    <s v="Calhoun, Rogers and Long"/>
    <s v="Progressive discrete hub"/>
    <n v="6600"/>
    <n v="3012"/>
    <x v="0"/>
    <n v="65"/>
    <x v="1"/>
    <s v="USD"/>
    <n v="1523163600"/>
    <n v="1523509200"/>
    <b v="1"/>
    <b v="0"/>
    <s v="music/indie rock"/>
    <m/>
    <x v="1"/>
    <s v="indie rock"/>
  </r>
  <r>
    <n v="194"/>
    <s v="Sandoval Group"/>
    <s v="Assimilated multi-tasking archive"/>
    <n v="7100"/>
    <n v="8716"/>
    <x v="1"/>
    <n v="126"/>
    <x v="1"/>
    <s v="USD"/>
    <n v="1442206800"/>
    <n v="1443589200"/>
    <b v="0"/>
    <b v="0"/>
    <s v="music/metal"/>
    <m/>
    <x v="1"/>
    <s v="metal"/>
  </r>
  <r>
    <n v="195"/>
    <s v="Smith and Sons"/>
    <s v="Upgradable high-level solution"/>
    <n v="15800"/>
    <n v="57157"/>
    <x v="1"/>
    <n v="524"/>
    <x v="1"/>
    <s v="USD"/>
    <n v="1532840400"/>
    <n v="1533445200"/>
    <b v="0"/>
    <b v="0"/>
    <s v="music/electric music"/>
    <m/>
    <x v="1"/>
    <s v="electric music"/>
  </r>
  <r>
    <n v="196"/>
    <s v="King Inc"/>
    <s v="Organic bandwidth-monitored frame"/>
    <n v="8200"/>
    <n v="5178"/>
    <x v="0"/>
    <n v="100"/>
    <x v="3"/>
    <s v="DKK"/>
    <n v="1472878800"/>
    <n v="1474520400"/>
    <b v="0"/>
    <b v="0"/>
    <s v="technology/wearables"/>
    <m/>
    <x v="2"/>
    <s v="wearables"/>
  </r>
  <r>
    <n v="197"/>
    <s v="Perry and Sons"/>
    <s v="Business-focused logistical framework"/>
    <n v="54700"/>
    <n v="163118"/>
    <x v="1"/>
    <n v="1989"/>
    <x v="1"/>
    <s v="USD"/>
    <n v="1498194000"/>
    <n v="1499403600"/>
    <b v="0"/>
    <b v="0"/>
    <s v="film &amp; video/drama"/>
    <m/>
    <x v="4"/>
    <s v="drama"/>
  </r>
  <r>
    <n v="198"/>
    <s v="Palmer Inc"/>
    <s v="Universal multi-state capability"/>
    <n v="63200"/>
    <n v="6041"/>
    <x v="0"/>
    <n v="168"/>
    <x v="1"/>
    <s v="USD"/>
    <n v="1281070800"/>
    <n v="1283576400"/>
    <b v="0"/>
    <b v="0"/>
    <s v="music/electric music"/>
    <m/>
    <x v="1"/>
    <s v="electric music"/>
  </r>
  <r>
    <n v="199"/>
    <s v="Hull, Baker and Martinez"/>
    <s v="Digitized reciprocal infrastructure"/>
    <n v="1800"/>
    <n v="968"/>
    <x v="0"/>
    <n v="13"/>
    <x v="1"/>
    <s v="USD"/>
    <n v="1436245200"/>
    <n v="1436590800"/>
    <b v="0"/>
    <b v="0"/>
    <s v="music/rock"/>
    <m/>
    <x v="1"/>
    <s v="rock"/>
  </r>
  <r>
    <n v="200"/>
    <s v="Becker, Rice and White"/>
    <s v="Reduced dedicated capability"/>
    <n v="100"/>
    <n v="2"/>
    <x v="0"/>
    <n v="1"/>
    <x v="0"/>
    <s v="CAD"/>
    <n v="1269493200"/>
    <n v="1270443600"/>
    <b v="0"/>
    <b v="0"/>
    <s v="theater/plays"/>
    <m/>
    <x v="3"/>
    <s v="plays"/>
  </r>
  <r>
    <n v="201"/>
    <s v="Osborne, Perkins and Knox"/>
    <s v="Cross-platform bi-directional workforce"/>
    <n v="2100"/>
    <n v="14305"/>
    <x v="1"/>
    <n v="157"/>
    <x v="1"/>
    <s v="USD"/>
    <n v="1406264400"/>
    <n v="1407819600"/>
    <b v="0"/>
    <b v="0"/>
    <s v="technology/web"/>
    <m/>
    <x v="2"/>
    <s v="web"/>
  </r>
  <r>
    <n v="202"/>
    <s v="Mcknight-Freeman"/>
    <s v="Upgradable scalable methodology"/>
    <n v="8300"/>
    <n v="6543"/>
    <x v="3"/>
    <n v="82"/>
    <x v="1"/>
    <s v="USD"/>
    <n v="1317531600"/>
    <n v="1317877200"/>
    <b v="0"/>
    <b v="0"/>
    <s v="food/food trucks"/>
    <m/>
    <x v="0"/>
    <s v="food trucks"/>
  </r>
  <r>
    <n v="203"/>
    <s v="Hayden, Shannon and Stein"/>
    <s v="Customer-focused client-server service-desk"/>
    <n v="143900"/>
    <n v="193413"/>
    <x v="1"/>
    <n v="4498"/>
    <x v="2"/>
    <s v="AUD"/>
    <n v="1484632800"/>
    <n v="1484805600"/>
    <b v="0"/>
    <b v="0"/>
    <s v="theater/plays"/>
    <m/>
    <x v="3"/>
    <s v="plays"/>
  </r>
  <r>
    <n v="204"/>
    <s v="Daniel-Luna"/>
    <s v="Mandatory multimedia leverage"/>
    <n v="75000"/>
    <n v="2529"/>
    <x v="0"/>
    <n v="40"/>
    <x v="1"/>
    <s v="USD"/>
    <n v="1301806800"/>
    <n v="1302670800"/>
    <b v="0"/>
    <b v="0"/>
    <s v="music/jazz"/>
    <m/>
    <x v="1"/>
    <s v="jazz"/>
  </r>
  <r>
    <n v="205"/>
    <s v="Weaver-Marquez"/>
    <s v="Focused analyzing circuit"/>
    <n v="1300"/>
    <n v="5614"/>
    <x v="1"/>
    <n v="80"/>
    <x v="1"/>
    <s v="USD"/>
    <n v="1539752400"/>
    <n v="1540789200"/>
    <b v="1"/>
    <b v="0"/>
    <s v="theater/plays"/>
    <m/>
    <x v="3"/>
    <s v="plays"/>
  </r>
  <r>
    <n v="206"/>
    <s v="Austin, Baker and Kelley"/>
    <s v="Fundamental grid-enabled strategy"/>
    <n v="9000"/>
    <n v="3496"/>
    <x v="3"/>
    <n v="57"/>
    <x v="1"/>
    <s v="USD"/>
    <n v="1267250400"/>
    <n v="1268028000"/>
    <b v="0"/>
    <b v="0"/>
    <s v="publishing/fiction"/>
    <m/>
    <x v="5"/>
    <s v="fiction"/>
  </r>
  <r>
    <n v="207"/>
    <s v="Carney-Anderson"/>
    <s v="Digitized 5thgeneration knowledgebase"/>
    <n v="1000"/>
    <n v="4257"/>
    <x v="1"/>
    <n v="43"/>
    <x v="1"/>
    <s v="USD"/>
    <n v="1535432400"/>
    <n v="1537160400"/>
    <b v="0"/>
    <b v="1"/>
    <s v="music/rock"/>
    <m/>
    <x v="1"/>
    <s v="rock"/>
  </r>
  <r>
    <n v="208"/>
    <s v="Jackson Inc"/>
    <s v="Mandatory multi-tasking encryption"/>
    <n v="196900"/>
    <n v="199110"/>
    <x v="1"/>
    <n v="2053"/>
    <x v="1"/>
    <s v="USD"/>
    <n v="1510207200"/>
    <n v="1512280800"/>
    <b v="0"/>
    <b v="0"/>
    <s v="film &amp; video/documentary"/>
    <m/>
    <x v="4"/>
    <s v="documentary"/>
  </r>
  <r>
    <n v="209"/>
    <s v="Warren Ltd"/>
    <s v="Distributed system-worthy application"/>
    <n v="194500"/>
    <n v="41212"/>
    <x v="2"/>
    <n v="808"/>
    <x v="2"/>
    <s v="AUD"/>
    <n v="1462510800"/>
    <n v="1463115600"/>
    <b v="0"/>
    <b v="0"/>
    <s v="film &amp; video/documentary"/>
    <m/>
    <x v="4"/>
    <s v="documentary"/>
  </r>
  <r>
    <n v="210"/>
    <s v="Schultz Inc"/>
    <s v="Synergistic tertiary time-frame"/>
    <n v="9400"/>
    <n v="6338"/>
    <x v="0"/>
    <n v="226"/>
    <x v="3"/>
    <s v="DKK"/>
    <n v="1488520800"/>
    <n v="1490850000"/>
    <b v="0"/>
    <b v="0"/>
    <s v="film &amp; video/science fiction"/>
    <m/>
    <x v="4"/>
    <s v="science fiction"/>
  </r>
  <r>
    <n v="211"/>
    <s v="Thompson LLC"/>
    <s v="Customer-focused impactful benchmark"/>
    <n v="104400"/>
    <n v="99100"/>
    <x v="0"/>
    <n v="1625"/>
    <x v="1"/>
    <s v="USD"/>
    <n v="1377579600"/>
    <n v="1379653200"/>
    <b v="0"/>
    <b v="0"/>
    <s v="theater/plays"/>
    <m/>
    <x v="3"/>
    <s v="plays"/>
  </r>
  <r>
    <n v="212"/>
    <s v="Johnson Inc"/>
    <s v="Profound next generation infrastructure"/>
    <n v="8100"/>
    <n v="12300"/>
    <x v="1"/>
    <n v="168"/>
    <x v="1"/>
    <s v="USD"/>
    <n v="1576389600"/>
    <n v="1580364000"/>
    <b v="0"/>
    <b v="0"/>
    <s v="theater/plays"/>
    <m/>
    <x v="3"/>
    <s v="plays"/>
  </r>
  <r>
    <n v="213"/>
    <s v="Morgan-Warren"/>
    <s v="Face-to-face encompassing info-mediaries"/>
    <n v="87900"/>
    <n v="171549"/>
    <x v="1"/>
    <n v="4289"/>
    <x v="1"/>
    <s v="USD"/>
    <n v="1289019600"/>
    <n v="1289714400"/>
    <b v="0"/>
    <b v="1"/>
    <s v="music/indie rock"/>
    <m/>
    <x v="1"/>
    <s v="indie rock"/>
  </r>
  <r>
    <n v="214"/>
    <s v="Sullivan Group"/>
    <s v="Open-source fresh-thinking policy"/>
    <n v="1400"/>
    <n v="14324"/>
    <x v="1"/>
    <n v="165"/>
    <x v="1"/>
    <s v="USD"/>
    <n v="1282194000"/>
    <n v="1282712400"/>
    <b v="0"/>
    <b v="0"/>
    <s v="music/rock"/>
    <m/>
    <x v="1"/>
    <s v="rock"/>
  </r>
  <r>
    <n v="215"/>
    <s v="Vargas, Banks and Palmer"/>
    <s v="Extended 24/7 implementation"/>
    <n v="156800"/>
    <n v="6024"/>
    <x v="0"/>
    <n v="143"/>
    <x v="1"/>
    <s v="USD"/>
    <n v="1550037600"/>
    <n v="1550210400"/>
    <b v="0"/>
    <b v="0"/>
    <s v="theater/plays"/>
    <m/>
    <x v="3"/>
    <s v="plays"/>
  </r>
  <r>
    <n v="216"/>
    <s v="Johnson, Dixon and Zimmerman"/>
    <s v="Organic dynamic algorithm"/>
    <n v="121700"/>
    <n v="188721"/>
    <x v="1"/>
    <n v="1815"/>
    <x v="1"/>
    <s v="USD"/>
    <n v="1321941600"/>
    <n v="1322114400"/>
    <b v="0"/>
    <b v="0"/>
    <s v="theater/plays"/>
    <m/>
    <x v="3"/>
    <s v="plays"/>
  </r>
  <r>
    <n v="217"/>
    <s v="Moore, Dudley and Navarro"/>
    <s v="Organic multi-tasking focus group"/>
    <n v="129400"/>
    <n v="57911"/>
    <x v="0"/>
    <n v="934"/>
    <x v="1"/>
    <s v="USD"/>
    <n v="1556427600"/>
    <n v="1557205200"/>
    <b v="0"/>
    <b v="0"/>
    <s v="film &amp; video/science fiction"/>
    <m/>
    <x v="4"/>
    <s v="science fiction"/>
  </r>
  <r>
    <n v="218"/>
    <s v="Price-Rodriguez"/>
    <s v="Adaptive logistical initiative"/>
    <n v="5700"/>
    <n v="12309"/>
    <x v="1"/>
    <n v="397"/>
    <x v="4"/>
    <s v="GBP"/>
    <n v="1320991200"/>
    <n v="1323928800"/>
    <b v="0"/>
    <b v="1"/>
    <s v="film &amp; video/shorts"/>
    <m/>
    <x v="4"/>
    <s v="shorts"/>
  </r>
  <r>
    <n v="219"/>
    <s v="Huang-Henderson"/>
    <s v="Stand-alone mobile customer loyalty"/>
    <n v="41700"/>
    <n v="138497"/>
    <x v="1"/>
    <n v="1539"/>
    <x v="1"/>
    <s v="USD"/>
    <n v="1345093200"/>
    <n v="1346130000"/>
    <b v="0"/>
    <b v="0"/>
    <s v="film &amp; video/animation"/>
    <m/>
    <x v="4"/>
    <s v="animation"/>
  </r>
  <r>
    <n v="220"/>
    <s v="Owens-Le"/>
    <s v="Focused composite approach"/>
    <n v="7900"/>
    <n v="667"/>
    <x v="0"/>
    <n v="17"/>
    <x v="1"/>
    <s v="USD"/>
    <n v="1309496400"/>
    <n v="1311051600"/>
    <b v="1"/>
    <b v="0"/>
    <s v="theater/plays"/>
    <m/>
    <x v="3"/>
    <s v="plays"/>
  </r>
  <r>
    <n v="221"/>
    <s v="Huff LLC"/>
    <s v="Face-to-face clear-thinking Local Area Network"/>
    <n v="121500"/>
    <n v="119830"/>
    <x v="0"/>
    <n v="2179"/>
    <x v="1"/>
    <s v="USD"/>
    <n v="1340254800"/>
    <n v="1340427600"/>
    <b v="1"/>
    <b v="0"/>
    <s v="food/food trucks"/>
    <m/>
    <x v="0"/>
    <s v="food trucks"/>
  </r>
  <r>
    <n v="222"/>
    <s v="Johnson LLC"/>
    <s v="Cross-group cohesive circuit"/>
    <n v="4800"/>
    <n v="6623"/>
    <x v="1"/>
    <n v="138"/>
    <x v="1"/>
    <s v="USD"/>
    <n v="1412226000"/>
    <n v="1412312400"/>
    <b v="0"/>
    <b v="0"/>
    <s v="photography/photography books"/>
    <m/>
    <x v="7"/>
    <s v="photography books"/>
  </r>
  <r>
    <n v="223"/>
    <s v="Chavez, Garcia and Cantu"/>
    <s v="Synergistic explicit capability"/>
    <n v="87300"/>
    <n v="81897"/>
    <x v="0"/>
    <n v="931"/>
    <x v="1"/>
    <s v="USD"/>
    <n v="1458104400"/>
    <n v="1459314000"/>
    <b v="0"/>
    <b v="0"/>
    <s v="theater/plays"/>
    <m/>
    <x v="3"/>
    <s v="plays"/>
  </r>
  <r>
    <n v="224"/>
    <s v="Lester-Moore"/>
    <s v="Diverse analyzing definition"/>
    <n v="46300"/>
    <n v="186885"/>
    <x v="1"/>
    <n v="3594"/>
    <x v="1"/>
    <s v="USD"/>
    <n v="1411534800"/>
    <n v="1415426400"/>
    <b v="0"/>
    <b v="0"/>
    <s v="film &amp; video/science fiction"/>
    <m/>
    <x v="4"/>
    <s v="science fiction"/>
  </r>
  <r>
    <n v="225"/>
    <s v="Fox-Quinn"/>
    <s v="Enterprise-wide reciprocal success"/>
    <n v="67800"/>
    <n v="176398"/>
    <x v="1"/>
    <n v="5880"/>
    <x v="1"/>
    <s v="USD"/>
    <n v="1399093200"/>
    <n v="1399093200"/>
    <b v="1"/>
    <b v="0"/>
    <s v="music/rock"/>
    <m/>
    <x v="1"/>
    <s v="rock"/>
  </r>
  <r>
    <n v="226"/>
    <s v="Garcia Inc"/>
    <s v="Progressive neutral middleware"/>
    <n v="3000"/>
    <n v="10999"/>
    <x v="1"/>
    <n v="112"/>
    <x v="1"/>
    <s v="USD"/>
    <n v="1270702800"/>
    <n v="1273899600"/>
    <b v="0"/>
    <b v="0"/>
    <s v="photography/photography books"/>
    <m/>
    <x v="7"/>
    <s v="photography books"/>
  </r>
  <r>
    <n v="227"/>
    <s v="Johnson-Lee"/>
    <s v="Intuitive exuding process improvement"/>
    <n v="60900"/>
    <n v="102751"/>
    <x v="1"/>
    <n v="943"/>
    <x v="1"/>
    <s v="USD"/>
    <n v="1431666000"/>
    <n v="1432184400"/>
    <b v="0"/>
    <b v="0"/>
    <s v="games/mobile games"/>
    <m/>
    <x v="6"/>
    <s v="mobile games"/>
  </r>
  <r>
    <n v="228"/>
    <s v="Pineda Group"/>
    <s v="Exclusive real-time protocol"/>
    <n v="137900"/>
    <n v="165352"/>
    <x v="1"/>
    <n v="2468"/>
    <x v="1"/>
    <s v="USD"/>
    <n v="1472619600"/>
    <n v="1474779600"/>
    <b v="0"/>
    <b v="0"/>
    <s v="film &amp; video/animation"/>
    <m/>
    <x v="4"/>
    <s v="animation"/>
  </r>
  <r>
    <n v="229"/>
    <s v="Hoffman-Howard"/>
    <s v="Extended encompassing application"/>
    <n v="85600"/>
    <n v="165798"/>
    <x v="1"/>
    <n v="2551"/>
    <x v="1"/>
    <s v="USD"/>
    <n v="1496293200"/>
    <n v="1500440400"/>
    <b v="0"/>
    <b v="1"/>
    <s v="games/mobile games"/>
    <m/>
    <x v="6"/>
    <s v="mobile games"/>
  </r>
  <r>
    <n v="230"/>
    <s v="Miranda, Hall and Mcgrath"/>
    <s v="Progressive value-added ability"/>
    <n v="2400"/>
    <n v="10084"/>
    <x v="1"/>
    <n v="101"/>
    <x v="1"/>
    <s v="USD"/>
    <n v="1575612000"/>
    <n v="1575612000"/>
    <b v="0"/>
    <b v="0"/>
    <s v="games/video games"/>
    <m/>
    <x v="6"/>
    <s v="video games"/>
  </r>
  <r>
    <n v="231"/>
    <s v="Williams, Carter and Gonzalez"/>
    <s v="Cross-platform uniform hardware"/>
    <n v="7200"/>
    <n v="5523"/>
    <x v="3"/>
    <n v="67"/>
    <x v="1"/>
    <s v="USD"/>
    <n v="1369112400"/>
    <n v="1374123600"/>
    <b v="0"/>
    <b v="0"/>
    <s v="theater/plays"/>
    <m/>
    <x v="3"/>
    <s v="plays"/>
  </r>
  <r>
    <n v="232"/>
    <s v="Davis-Rodriguez"/>
    <s v="Progressive secondary portal"/>
    <n v="3400"/>
    <n v="5823"/>
    <x v="1"/>
    <n v="92"/>
    <x v="1"/>
    <s v="USD"/>
    <n v="1469422800"/>
    <n v="1469509200"/>
    <b v="0"/>
    <b v="0"/>
    <s v="theater/plays"/>
    <m/>
    <x v="3"/>
    <s v="plays"/>
  </r>
  <r>
    <n v="233"/>
    <s v="Reid, Rivera and Perry"/>
    <s v="Multi-lateral national adapter"/>
    <n v="3800"/>
    <n v="6000"/>
    <x v="1"/>
    <n v="62"/>
    <x v="1"/>
    <s v="USD"/>
    <n v="1307854800"/>
    <n v="1309237200"/>
    <b v="0"/>
    <b v="0"/>
    <s v="film &amp; video/animation"/>
    <m/>
    <x v="4"/>
    <s v="animation"/>
  </r>
  <r>
    <n v="234"/>
    <s v="Mendoza-Parker"/>
    <s v="Enterprise-wide motivating matrices"/>
    <n v="7500"/>
    <n v="8181"/>
    <x v="1"/>
    <n v="149"/>
    <x v="6"/>
    <s v="EUR"/>
    <n v="1503378000"/>
    <n v="1503982800"/>
    <b v="0"/>
    <b v="1"/>
    <s v="games/video games"/>
    <m/>
    <x v="6"/>
    <s v="video games"/>
  </r>
  <r>
    <n v="235"/>
    <s v="Lee, Ali and Guzman"/>
    <s v="Polarized upward-trending Local Area Network"/>
    <n v="8600"/>
    <n v="3589"/>
    <x v="0"/>
    <n v="92"/>
    <x v="1"/>
    <s v="USD"/>
    <n v="1486965600"/>
    <n v="1487397600"/>
    <b v="0"/>
    <b v="0"/>
    <s v="film &amp; video/animation"/>
    <m/>
    <x v="4"/>
    <s v="animation"/>
  </r>
  <r>
    <n v="236"/>
    <s v="Gallegos-Cobb"/>
    <s v="Object-based directional function"/>
    <n v="39500"/>
    <n v="4323"/>
    <x v="0"/>
    <n v="57"/>
    <x v="2"/>
    <s v="AUD"/>
    <n v="1561438800"/>
    <n v="1562043600"/>
    <b v="0"/>
    <b v="1"/>
    <s v="music/rock"/>
    <m/>
    <x v="1"/>
    <s v="rock"/>
  </r>
  <r>
    <n v="237"/>
    <s v="Ellison PLC"/>
    <s v="Re-contextualized tangible open architecture"/>
    <n v="9300"/>
    <n v="14822"/>
    <x v="1"/>
    <n v="329"/>
    <x v="1"/>
    <s v="USD"/>
    <n v="1398402000"/>
    <n v="1398574800"/>
    <b v="0"/>
    <b v="0"/>
    <s v="film &amp; video/animation"/>
    <m/>
    <x v="4"/>
    <s v="animation"/>
  </r>
  <r>
    <n v="238"/>
    <s v="Bolton, Sanchez and Carrillo"/>
    <s v="Distributed systemic adapter"/>
    <n v="2400"/>
    <n v="10138"/>
    <x v="1"/>
    <n v="97"/>
    <x v="3"/>
    <s v="DKK"/>
    <n v="1513231200"/>
    <n v="1515391200"/>
    <b v="0"/>
    <b v="1"/>
    <s v="theater/plays"/>
    <m/>
    <x v="3"/>
    <s v="plays"/>
  </r>
  <r>
    <n v="239"/>
    <s v="Mason-Sanders"/>
    <s v="Networked web-enabled instruction set"/>
    <n v="3200"/>
    <n v="3127"/>
    <x v="0"/>
    <n v="41"/>
    <x v="1"/>
    <s v="USD"/>
    <n v="1440824400"/>
    <n v="1441170000"/>
    <b v="0"/>
    <b v="0"/>
    <s v="technology/wearables"/>
    <m/>
    <x v="2"/>
    <s v="wearables"/>
  </r>
  <r>
    <n v="240"/>
    <s v="Pitts-Reed"/>
    <s v="Vision-oriented dynamic service-desk"/>
    <n v="29400"/>
    <n v="123124"/>
    <x v="1"/>
    <n v="1784"/>
    <x v="1"/>
    <s v="USD"/>
    <n v="1281070800"/>
    <n v="1281157200"/>
    <b v="0"/>
    <b v="0"/>
    <s v="theater/plays"/>
    <m/>
    <x v="3"/>
    <s v="plays"/>
  </r>
  <r>
    <n v="241"/>
    <s v="Gonzalez-Martinez"/>
    <s v="Vision-oriented actuating open system"/>
    <n v="168500"/>
    <n v="171729"/>
    <x v="1"/>
    <n v="1684"/>
    <x v="2"/>
    <s v="AUD"/>
    <n v="1397365200"/>
    <n v="1398229200"/>
    <b v="0"/>
    <b v="1"/>
    <s v="publishing/nonfiction"/>
    <m/>
    <x v="5"/>
    <s v="nonfiction"/>
  </r>
  <r>
    <n v="242"/>
    <s v="Hill, Martin and Garcia"/>
    <s v="Sharable scalable core"/>
    <n v="8400"/>
    <n v="10729"/>
    <x v="1"/>
    <n v="250"/>
    <x v="1"/>
    <s v="USD"/>
    <n v="1494392400"/>
    <n v="1495256400"/>
    <b v="0"/>
    <b v="1"/>
    <s v="music/rock"/>
    <m/>
    <x v="1"/>
    <s v="rock"/>
  </r>
  <r>
    <n v="243"/>
    <s v="Garcia PLC"/>
    <s v="Customer-focused attitude-oriented function"/>
    <n v="2300"/>
    <n v="10240"/>
    <x v="1"/>
    <n v="238"/>
    <x v="1"/>
    <s v="USD"/>
    <n v="1520143200"/>
    <n v="1520402400"/>
    <b v="0"/>
    <b v="0"/>
    <s v="theater/plays"/>
    <m/>
    <x v="3"/>
    <s v="plays"/>
  </r>
  <r>
    <n v="244"/>
    <s v="Herring-Bailey"/>
    <s v="Reverse-engineered system-worthy extranet"/>
    <n v="700"/>
    <n v="3988"/>
    <x v="1"/>
    <n v="53"/>
    <x v="1"/>
    <s v="USD"/>
    <n v="1405314000"/>
    <n v="1409806800"/>
    <b v="0"/>
    <b v="0"/>
    <s v="theater/plays"/>
    <m/>
    <x v="3"/>
    <s v="plays"/>
  </r>
  <r>
    <n v="245"/>
    <s v="Russell-Gardner"/>
    <s v="Re-engineered systematic monitoring"/>
    <n v="2900"/>
    <n v="14771"/>
    <x v="1"/>
    <n v="214"/>
    <x v="1"/>
    <s v="USD"/>
    <n v="1396846800"/>
    <n v="1396933200"/>
    <b v="0"/>
    <b v="0"/>
    <s v="theater/plays"/>
    <m/>
    <x v="3"/>
    <s v="plays"/>
  </r>
  <r>
    <n v="246"/>
    <s v="Walters-Carter"/>
    <s v="Seamless value-added standardization"/>
    <n v="4500"/>
    <n v="14649"/>
    <x v="1"/>
    <n v="222"/>
    <x v="1"/>
    <s v="USD"/>
    <n v="1375678800"/>
    <n v="1376024400"/>
    <b v="0"/>
    <b v="0"/>
    <s v="technology/web"/>
    <m/>
    <x v="2"/>
    <s v="web"/>
  </r>
  <r>
    <n v="247"/>
    <s v="Johnson, Patterson and Montoya"/>
    <s v="Triple-buffered fresh-thinking frame"/>
    <n v="19800"/>
    <n v="184658"/>
    <x v="1"/>
    <n v="1884"/>
    <x v="1"/>
    <s v="USD"/>
    <n v="1482386400"/>
    <n v="1483682400"/>
    <b v="0"/>
    <b v="1"/>
    <s v="publishing/fiction"/>
    <m/>
    <x v="5"/>
    <s v="fiction"/>
  </r>
  <r>
    <n v="248"/>
    <s v="Roberts and Sons"/>
    <s v="Streamlined holistic knowledgebase"/>
    <n v="6200"/>
    <n v="13103"/>
    <x v="1"/>
    <n v="218"/>
    <x v="2"/>
    <s v="AUD"/>
    <n v="1420005600"/>
    <n v="1420437600"/>
    <b v="0"/>
    <b v="0"/>
    <s v="games/mobile games"/>
    <m/>
    <x v="6"/>
    <s v="mobile games"/>
  </r>
  <r>
    <n v="249"/>
    <s v="Avila-Nelson"/>
    <s v="Up-sized intermediate website"/>
    <n v="61500"/>
    <n v="168095"/>
    <x v="1"/>
    <n v="6465"/>
    <x v="1"/>
    <s v="USD"/>
    <n v="1420178400"/>
    <n v="1420783200"/>
    <b v="0"/>
    <b v="0"/>
    <s v="publishing/translations"/>
    <m/>
    <x v="5"/>
    <s v="translations"/>
  </r>
  <r>
    <n v="250"/>
    <s v="Robbins and Sons"/>
    <s v="Future-proofed directional synergy"/>
    <n v="100"/>
    <n v="3"/>
    <x v="0"/>
    <n v="1"/>
    <x v="1"/>
    <s v="USD"/>
    <n v="1264399200"/>
    <n v="1267423200"/>
    <b v="0"/>
    <b v="0"/>
    <s v="music/rock"/>
    <m/>
    <x v="1"/>
    <s v="rock"/>
  </r>
  <r>
    <n v="251"/>
    <s v="Singleton Ltd"/>
    <s v="Enhanced user-facing function"/>
    <n v="7100"/>
    <n v="3840"/>
    <x v="0"/>
    <n v="101"/>
    <x v="1"/>
    <s v="USD"/>
    <n v="1355032800"/>
    <n v="1355205600"/>
    <b v="0"/>
    <b v="0"/>
    <s v="theater/plays"/>
    <m/>
    <x v="3"/>
    <s v="plays"/>
  </r>
  <r>
    <n v="252"/>
    <s v="Perez PLC"/>
    <s v="Operative bandwidth-monitored interface"/>
    <n v="1000"/>
    <n v="6263"/>
    <x v="1"/>
    <n v="59"/>
    <x v="1"/>
    <s v="USD"/>
    <n v="1382677200"/>
    <n v="1383109200"/>
    <b v="0"/>
    <b v="0"/>
    <s v="theater/plays"/>
    <m/>
    <x v="3"/>
    <s v="plays"/>
  </r>
  <r>
    <n v="253"/>
    <s v="Rogers, Jacobs and Jackson"/>
    <s v="Upgradable multi-state instruction set"/>
    <n v="121500"/>
    <n v="108161"/>
    <x v="0"/>
    <n v="1335"/>
    <x v="0"/>
    <s v="CAD"/>
    <n v="1302238800"/>
    <n v="1303275600"/>
    <b v="0"/>
    <b v="0"/>
    <s v="film &amp; video/drama"/>
    <m/>
    <x v="4"/>
    <s v="drama"/>
  </r>
  <r>
    <n v="254"/>
    <s v="Barry Group"/>
    <s v="De-engineered static Local Area Network"/>
    <n v="4600"/>
    <n v="8505"/>
    <x v="1"/>
    <n v="88"/>
    <x v="1"/>
    <s v="USD"/>
    <n v="1487656800"/>
    <n v="1487829600"/>
    <b v="0"/>
    <b v="0"/>
    <s v="publishing/nonfiction"/>
    <m/>
    <x v="5"/>
    <s v="nonfiction"/>
  </r>
  <r>
    <n v="255"/>
    <s v="Rosales, Branch and Harmon"/>
    <s v="Upgradable grid-enabled superstructure"/>
    <n v="80500"/>
    <n v="96735"/>
    <x v="1"/>
    <n v="1697"/>
    <x v="1"/>
    <s v="USD"/>
    <n v="1297836000"/>
    <n v="1298268000"/>
    <b v="0"/>
    <b v="1"/>
    <s v="music/rock"/>
    <m/>
    <x v="1"/>
    <s v="rock"/>
  </r>
  <r>
    <n v="256"/>
    <s v="Smith-Reid"/>
    <s v="Optimized actuating toolset"/>
    <n v="4100"/>
    <n v="959"/>
    <x v="0"/>
    <n v="15"/>
    <x v="4"/>
    <s v="GBP"/>
    <n v="1453615200"/>
    <n v="1456812000"/>
    <b v="0"/>
    <b v="0"/>
    <s v="music/rock"/>
    <m/>
    <x v="1"/>
    <s v="rock"/>
  </r>
  <r>
    <n v="257"/>
    <s v="Williams Inc"/>
    <s v="Decentralized exuding strategy"/>
    <n v="5700"/>
    <n v="8322"/>
    <x v="1"/>
    <n v="92"/>
    <x v="1"/>
    <s v="USD"/>
    <n v="1362463200"/>
    <n v="1363669200"/>
    <b v="0"/>
    <b v="0"/>
    <s v="theater/plays"/>
    <m/>
    <x v="3"/>
    <s v="plays"/>
  </r>
  <r>
    <n v="258"/>
    <s v="Duncan, Mcdonald and Miller"/>
    <s v="Assimilated coherent hardware"/>
    <n v="5000"/>
    <n v="13424"/>
    <x v="1"/>
    <n v="186"/>
    <x v="1"/>
    <s v="USD"/>
    <n v="1481176800"/>
    <n v="1482904800"/>
    <b v="0"/>
    <b v="1"/>
    <s v="theater/plays"/>
    <m/>
    <x v="3"/>
    <s v="plays"/>
  </r>
  <r>
    <n v="259"/>
    <s v="Watkins Ltd"/>
    <s v="Multi-channeled responsive implementation"/>
    <n v="1800"/>
    <n v="10755"/>
    <x v="1"/>
    <n v="138"/>
    <x v="1"/>
    <s v="USD"/>
    <n v="1354946400"/>
    <n v="1356588000"/>
    <b v="1"/>
    <b v="0"/>
    <s v="photography/photography books"/>
    <m/>
    <x v="7"/>
    <s v="photography books"/>
  </r>
  <r>
    <n v="260"/>
    <s v="Allen-Jones"/>
    <s v="Centralized modular initiative"/>
    <n v="6300"/>
    <n v="9935"/>
    <x v="1"/>
    <n v="261"/>
    <x v="1"/>
    <s v="USD"/>
    <n v="1348808400"/>
    <n v="1349845200"/>
    <b v="0"/>
    <b v="0"/>
    <s v="music/rock"/>
    <m/>
    <x v="1"/>
    <s v="rock"/>
  </r>
  <r>
    <n v="261"/>
    <s v="Mason-Smith"/>
    <s v="Reverse-engineered cohesive migration"/>
    <n v="84300"/>
    <n v="26303"/>
    <x v="0"/>
    <n v="454"/>
    <x v="1"/>
    <s v="USD"/>
    <n v="1282712400"/>
    <n v="1283058000"/>
    <b v="0"/>
    <b v="1"/>
    <s v="music/rock"/>
    <m/>
    <x v="1"/>
    <s v="rock"/>
  </r>
  <r>
    <n v="262"/>
    <s v="Lloyd, Kennedy and Davis"/>
    <s v="Compatible multimedia hub"/>
    <n v="1700"/>
    <n v="5328"/>
    <x v="1"/>
    <n v="107"/>
    <x v="1"/>
    <s v="USD"/>
    <n v="1301979600"/>
    <n v="1304226000"/>
    <b v="0"/>
    <b v="1"/>
    <s v="music/indie rock"/>
    <m/>
    <x v="1"/>
    <s v="indie rock"/>
  </r>
  <r>
    <n v="263"/>
    <s v="Walker Ltd"/>
    <s v="Organic eco-centric success"/>
    <n v="2900"/>
    <n v="10756"/>
    <x v="1"/>
    <n v="199"/>
    <x v="1"/>
    <s v="USD"/>
    <n v="1263016800"/>
    <n v="1263016800"/>
    <b v="0"/>
    <b v="0"/>
    <s v="photography/photography books"/>
    <m/>
    <x v="7"/>
    <s v="photography books"/>
  </r>
  <r>
    <n v="264"/>
    <s v="Gordon PLC"/>
    <s v="Virtual reciprocal policy"/>
    <n v="45600"/>
    <n v="165375"/>
    <x v="1"/>
    <n v="5512"/>
    <x v="1"/>
    <s v="USD"/>
    <n v="1360648800"/>
    <n v="1362031200"/>
    <b v="0"/>
    <b v="0"/>
    <s v="theater/plays"/>
    <m/>
    <x v="3"/>
    <s v="plays"/>
  </r>
  <r>
    <n v="265"/>
    <s v="Lee and Sons"/>
    <s v="Persevering interactive emulation"/>
    <n v="4900"/>
    <n v="6031"/>
    <x v="1"/>
    <n v="86"/>
    <x v="1"/>
    <s v="USD"/>
    <n v="1451800800"/>
    <n v="1455602400"/>
    <b v="0"/>
    <b v="0"/>
    <s v="theater/plays"/>
    <m/>
    <x v="3"/>
    <s v="plays"/>
  </r>
  <r>
    <n v="266"/>
    <s v="Cole LLC"/>
    <s v="Proactive responsive emulation"/>
    <n v="111900"/>
    <n v="85902"/>
    <x v="0"/>
    <n v="3182"/>
    <x v="6"/>
    <s v="EUR"/>
    <n v="1415340000"/>
    <n v="1418191200"/>
    <b v="0"/>
    <b v="1"/>
    <s v="music/jazz"/>
    <m/>
    <x v="1"/>
    <s v="jazz"/>
  </r>
  <r>
    <n v="267"/>
    <s v="Acosta PLC"/>
    <s v="Extended eco-centric function"/>
    <n v="61600"/>
    <n v="143910"/>
    <x v="1"/>
    <n v="2768"/>
    <x v="2"/>
    <s v="AUD"/>
    <n v="1351054800"/>
    <n v="1352440800"/>
    <b v="0"/>
    <b v="0"/>
    <s v="theater/plays"/>
    <m/>
    <x v="3"/>
    <s v="plays"/>
  </r>
  <r>
    <n v="268"/>
    <s v="Brown-Mckee"/>
    <s v="Networked optimal productivity"/>
    <n v="1500"/>
    <n v="2708"/>
    <x v="1"/>
    <n v="48"/>
    <x v="1"/>
    <s v="USD"/>
    <n v="1349326800"/>
    <n v="1353304800"/>
    <b v="0"/>
    <b v="0"/>
    <s v="film &amp; video/documentary"/>
    <m/>
    <x v="4"/>
    <s v="documentary"/>
  </r>
  <r>
    <n v="269"/>
    <s v="Miles and Sons"/>
    <s v="Persistent attitude-oriented approach"/>
    <n v="3500"/>
    <n v="8842"/>
    <x v="1"/>
    <n v="87"/>
    <x v="1"/>
    <s v="USD"/>
    <n v="1548914400"/>
    <n v="1550728800"/>
    <b v="0"/>
    <b v="0"/>
    <s v="film &amp; video/television"/>
    <m/>
    <x v="4"/>
    <s v="television"/>
  </r>
  <r>
    <n v="270"/>
    <s v="Sawyer, Horton and Williams"/>
    <s v="Triple-buffered 4thgeneration toolset"/>
    <n v="173900"/>
    <n v="47260"/>
    <x v="3"/>
    <n v="1890"/>
    <x v="1"/>
    <s v="USD"/>
    <n v="1291269600"/>
    <n v="1291442400"/>
    <b v="0"/>
    <b v="0"/>
    <s v="games/video games"/>
    <m/>
    <x v="6"/>
    <s v="video games"/>
  </r>
  <r>
    <n v="271"/>
    <s v="Foley-Cox"/>
    <s v="Progressive zero administration leverage"/>
    <n v="153700"/>
    <n v="1953"/>
    <x v="2"/>
    <n v="61"/>
    <x v="1"/>
    <s v="USD"/>
    <n v="1449468000"/>
    <n v="1452146400"/>
    <b v="0"/>
    <b v="0"/>
    <s v="photography/photography books"/>
    <m/>
    <x v="7"/>
    <s v="photography books"/>
  </r>
  <r>
    <n v="272"/>
    <s v="Horton, Morrison and Clark"/>
    <s v="Networked radical neural-net"/>
    <n v="51100"/>
    <n v="155349"/>
    <x v="1"/>
    <n v="1894"/>
    <x v="1"/>
    <s v="USD"/>
    <n v="1562734800"/>
    <n v="1564894800"/>
    <b v="0"/>
    <b v="1"/>
    <s v="theater/plays"/>
    <m/>
    <x v="3"/>
    <s v="plays"/>
  </r>
  <r>
    <n v="273"/>
    <s v="Thomas and Sons"/>
    <s v="Re-engineered heuristic forecast"/>
    <n v="7800"/>
    <n v="10704"/>
    <x v="1"/>
    <n v="282"/>
    <x v="0"/>
    <s v="CAD"/>
    <n v="1505624400"/>
    <n v="1505883600"/>
    <b v="0"/>
    <b v="0"/>
    <s v="theater/plays"/>
    <m/>
    <x v="3"/>
    <s v="plays"/>
  </r>
  <r>
    <n v="274"/>
    <s v="Morgan-Jenkins"/>
    <s v="Fully-configurable background algorithm"/>
    <n v="2400"/>
    <n v="773"/>
    <x v="0"/>
    <n v="15"/>
    <x v="1"/>
    <s v="USD"/>
    <n v="1509948000"/>
    <n v="1510380000"/>
    <b v="0"/>
    <b v="0"/>
    <s v="theater/plays"/>
    <m/>
    <x v="3"/>
    <s v="plays"/>
  </r>
  <r>
    <n v="275"/>
    <s v="Ward, Sanchez and Kemp"/>
    <s v="Stand-alone discrete Graphical User Interface"/>
    <n v="3900"/>
    <n v="9419"/>
    <x v="1"/>
    <n v="116"/>
    <x v="1"/>
    <s v="USD"/>
    <n v="1554526800"/>
    <n v="1555218000"/>
    <b v="0"/>
    <b v="0"/>
    <s v="publishing/translations"/>
    <m/>
    <x v="5"/>
    <s v="translations"/>
  </r>
  <r>
    <n v="276"/>
    <s v="Fields Ltd"/>
    <s v="Front-line foreground project"/>
    <n v="5500"/>
    <n v="5324"/>
    <x v="0"/>
    <n v="133"/>
    <x v="1"/>
    <s v="USD"/>
    <n v="1334811600"/>
    <n v="1335243600"/>
    <b v="0"/>
    <b v="1"/>
    <s v="games/video games"/>
    <m/>
    <x v="6"/>
    <s v="video games"/>
  </r>
  <r>
    <n v="277"/>
    <s v="Ramos-Mitchell"/>
    <s v="Persevering system-worthy info-mediaries"/>
    <n v="700"/>
    <n v="7465"/>
    <x v="1"/>
    <n v="83"/>
    <x v="1"/>
    <s v="USD"/>
    <n v="1279515600"/>
    <n v="1279688400"/>
    <b v="0"/>
    <b v="0"/>
    <s v="theater/plays"/>
    <m/>
    <x v="3"/>
    <s v="plays"/>
  </r>
  <r>
    <n v="278"/>
    <s v="Higgins, Davis and Salazar"/>
    <s v="Distributed multi-tasking strategy"/>
    <n v="2700"/>
    <n v="8799"/>
    <x v="1"/>
    <n v="91"/>
    <x v="1"/>
    <s v="USD"/>
    <n v="1353909600"/>
    <n v="1356069600"/>
    <b v="0"/>
    <b v="0"/>
    <s v="technology/web"/>
    <m/>
    <x v="2"/>
    <s v="web"/>
  </r>
  <r>
    <n v="279"/>
    <s v="Smith-Jenkins"/>
    <s v="Vision-oriented methodical application"/>
    <n v="8000"/>
    <n v="13656"/>
    <x v="1"/>
    <n v="546"/>
    <x v="1"/>
    <s v="USD"/>
    <n v="1535950800"/>
    <n v="1536210000"/>
    <b v="0"/>
    <b v="0"/>
    <s v="theater/plays"/>
    <m/>
    <x v="3"/>
    <s v="plays"/>
  </r>
  <r>
    <n v="280"/>
    <s v="Braun PLC"/>
    <s v="Function-based high-level infrastructure"/>
    <n v="2500"/>
    <n v="14536"/>
    <x v="1"/>
    <n v="393"/>
    <x v="1"/>
    <s v="USD"/>
    <n v="1511244000"/>
    <n v="1511762400"/>
    <b v="0"/>
    <b v="0"/>
    <s v="film &amp; video/animation"/>
    <m/>
    <x v="4"/>
    <s v="animation"/>
  </r>
  <r>
    <n v="281"/>
    <s v="Drake PLC"/>
    <s v="Profound object-oriented paradigm"/>
    <n v="164500"/>
    <n v="150552"/>
    <x v="0"/>
    <n v="2062"/>
    <x v="1"/>
    <s v="USD"/>
    <n v="1331445600"/>
    <n v="1333256400"/>
    <b v="0"/>
    <b v="1"/>
    <s v="theater/plays"/>
    <m/>
    <x v="3"/>
    <s v="plays"/>
  </r>
  <r>
    <n v="282"/>
    <s v="Ross, Kelly and Brown"/>
    <s v="Virtual contextually-based circuit"/>
    <n v="8400"/>
    <n v="9076"/>
    <x v="1"/>
    <n v="133"/>
    <x v="1"/>
    <s v="USD"/>
    <n v="1480226400"/>
    <n v="1480744800"/>
    <b v="0"/>
    <b v="1"/>
    <s v="film &amp; video/television"/>
    <m/>
    <x v="4"/>
    <s v="television"/>
  </r>
  <r>
    <n v="283"/>
    <s v="Lucas-Mullins"/>
    <s v="Business-focused dynamic instruction set"/>
    <n v="8100"/>
    <n v="1517"/>
    <x v="0"/>
    <n v="29"/>
    <x v="3"/>
    <s v="DKK"/>
    <n v="1464584400"/>
    <n v="1465016400"/>
    <b v="0"/>
    <b v="0"/>
    <s v="music/rock"/>
    <m/>
    <x v="1"/>
    <s v="rock"/>
  </r>
  <r>
    <n v="284"/>
    <s v="Tran LLC"/>
    <s v="Ameliorated fresh-thinking protocol"/>
    <n v="9800"/>
    <n v="8153"/>
    <x v="0"/>
    <n v="132"/>
    <x v="1"/>
    <s v="USD"/>
    <n v="1335848400"/>
    <n v="1336280400"/>
    <b v="0"/>
    <b v="0"/>
    <s v="technology/web"/>
    <m/>
    <x v="2"/>
    <s v="web"/>
  </r>
  <r>
    <n v="285"/>
    <s v="Dawson, Brady and Gilbert"/>
    <s v="Front-line optimizing emulation"/>
    <n v="900"/>
    <n v="6357"/>
    <x v="1"/>
    <n v="254"/>
    <x v="1"/>
    <s v="USD"/>
    <n v="1473483600"/>
    <n v="1476766800"/>
    <b v="0"/>
    <b v="0"/>
    <s v="theater/plays"/>
    <m/>
    <x v="3"/>
    <s v="plays"/>
  </r>
  <r>
    <n v="286"/>
    <s v="Obrien-Aguirre"/>
    <s v="Devolved uniform complexity"/>
    <n v="112100"/>
    <n v="19557"/>
    <x v="3"/>
    <n v="184"/>
    <x v="1"/>
    <s v="USD"/>
    <n v="1479880800"/>
    <n v="1480485600"/>
    <b v="0"/>
    <b v="0"/>
    <s v="theater/plays"/>
    <m/>
    <x v="3"/>
    <s v="plays"/>
  </r>
  <r>
    <n v="287"/>
    <s v="Ferguson PLC"/>
    <s v="Public-key intangible superstructure"/>
    <n v="6300"/>
    <n v="13213"/>
    <x v="1"/>
    <n v="176"/>
    <x v="1"/>
    <s v="USD"/>
    <n v="1430197200"/>
    <n v="1430197200"/>
    <b v="0"/>
    <b v="0"/>
    <s v="music/electric music"/>
    <m/>
    <x v="1"/>
    <s v="electric music"/>
  </r>
  <r>
    <n v="288"/>
    <s v="Garcia Ltd"/>
    <s v="Secured global success"/>
    <n v="5600"/>
    <n v="5476"/>
    <x v="0"/>
    <n v="137"/>
    <x v="3"/>
    <s v="DKK"/>
    <n v="1331701200"/>
    <n v="1331787600"/>
    <b v="0"/>
    <b v="1"/>
    <s v="music/metal"/>
    <m/>
    <x v="1"/>
    <s v="metal"/>
  </r>
  <r>
    <n v="289"/>
    <s v="Smith, Love and Smith"/>
    <s v="Grass-roots mission-critical capability"/>
    <n v="800"/>
    <n v="13474"/>
    <x v="1"/>
    <n v="337"/>
    <x v="0"/>
    <s v="CAD"/>
    <n v="1438578000"/>
    <n v="1438837200"/>
    <b v="0"/>
    <b v="0"/>
    <s v="theater/plays"/>
    <m/>
    <x v="3"/>
    <s v="plays"/>
  </r>
  <r>
    <n v="290"/>
    <s v="Wilson, Hall and Osborne"/>
    <s v="Advanced global data-warehouse"/>
    <n v="168600"/>
    <n v="91722"/>
    <x v="0"/>
    <n v="908"/>
    <x v="1"/>
    <s v="USD"/>
    <n v="1368162000"/>
    <n v="1370926800"/>
    <b v="0"/>
    <b v="1"/>
    <s v="film &amp; video/documentary"/>
    <m/>
    <x v="4"/>
    <s v="documentary"/>
  </r>
  <r>
    <n v="291"/>
    <s v="Bell, Grimes and Kerr"/>
    <s v="Self-enabling uniform complexity"/>
    <n v="1800"/>
    <n v="8219"/>
    <x v="1"/>
    <n v="107"/>
    <x v="1"/>
    <s v="USD"/>
    <n v="1318654800"/>
    <n v="1319000400"/>
    <b v="1"/>
    <b v="0"/>
    <s v="technology/web"/>
    <m/>
    <x v="2"/>
    <s v="web"/>
  </r>
  <r>
    <n v="292"/>
    <s v="Ho-Harris"/>
    <s v="Versatile cohesive encoding"/>
    <n v="7300"/>
    <n v="717"/>
    <x v="0"/>
    <n v="10"/>
    <x v="1"/>
    <s v="USD"/>
    <n v="1331874000"/>
    <n v="1333429200"/>
    <b v="0"/>
    <b v="0"/>
    <s v="food/food trucks"/>
    <m/>
    <x v="0"/>
    <s v="food trucks"/>
  </r>
  <r>
    <n v="293"/>
    <s v="Ross Group"/>
    <s v="Organized executive solution"/>
    <n v="6500"/>
    <n v="1065"/>
    <x v="3"/>
    <n v="32"/>
    <x v="6"/>
    <s v="EUR"/>
    <n v="1286254800"/>
    <n v="1287032400"/>
    <b v="0"/>
    <b v="0"/>
    <s v="theater/plays"/>
    <m/>
    <x v="3"/>
    <s v="plays"/>
  </r>
  <r>
    <n v="294"/>
    <s v="Turner-Davis"/>
    <s v="Automated local emulation"/>
    <n v="600"/>
    <n v="8038"/>
    <x v="1"/>
    <n v="183"/>
    <x v="1"/>
    <s v="USD"/>
    <n v="1540530000"/>
    <n v="1541570400"/>
    <b v="0"/>
    <b v="0"/>
    <s v="theater/plays"/>
    <m/>
    <x v="3"/>
    <s v="plays"/>
  </r>
  <r>
    <n v="295"/>
    <s v="Smith, Jackson and Herrera"/>
    <s v="Enterprise-wide intermediate middleware"/>
    <n v="192900"/>
    <n v="68769"/>
    <x v="0"/>
    <n v="1910"/>
    <x v="5"/>
    <s v="CHF"/>
    <n v="1381813200"/>
    <n v="1383976800"/>
    <b v="0"/>
    <b v="0"/>
    <s v="theater/plays"/>
    <m/>
    <x v="3"/>
    <s v="plays"/>
  </r>
  <r>
    <n v="296"/>
    <s v="Smith-Hess"/>
    <s v="Grass-roots real-time Local Area Network"/>
    <n v="6100"/>
    <n v="3352"/>
    <x v="0"/>
    <n v="38"/>
    <x v="2"/>
    <s v="AUD"/>
    <n v="1548655200"/>
    <n v="1550556000"/>
    <b v="0"/>
    <b v="0"/>
    <s v="theater/plays"/>
    <m/>
    <x v="3"/>
    <s v="plays"/>
  </r>
  <r>
    <n v="297"/>
    <s v="Brown, Herring and Bass"/>
    <s v="Organized client-driven capacity"/>
    <n v="7200"/>
    <n v="6785"/>
    <x v="0"/>
    <n v="104"/>
    <x v="2"/>
    <s v="AUD"/>
    <n v="1389679200"/>
    <n v="1390456800"/>
    <b v="0"/>
    <b v="1"/>
    <s v="theater/plays"/>
    <m/>
    <x v="3"/>
    <s v="plays"/>
  </r>
  <r>
    <n v="298"/>
    <s v="Chase, Garcia and Johnson"/>
    <s v="Adaptive intangible database"/>
    <n v="3500"/>
    <n v="5037"/>
    <x v="1"/>
    <n v="72"/>
    <x v="1"/>
    <s v="USD"/>
    <n v="1456466400"/>
    <n v="1458018000"/>
    <b v="0"/>
    <b v="1"/>
    <s v="music/rock"/>
    <m/>
    <x v="1"/>
    <s v="rock"/>
  </r>
  <r>
    <n v="299"/>
    <s v="Ramsey and Sons"/>
    <s v="Grass-roots contextually-based algorithm"/>
    <n v="3800"/>
    <n v="1954"/>
    <x v="0"/>
    <n v="49"/>
    <x v="1"/>
    <s v="USD"/>
    <n v="1456984800"/>
    <n v="1461819600"/>
    <b v="0"/>
    <b v="0"/>
    <s v="food/food trucks"/>
    <m/>
    <x v="0"/>
    <s v="food trucks"/>
  </r>
  <r>
    <n v="300"/>
    <s v="Cooke PLC"/>
    <s v="Focused executive core"/>
    <n v="100"/>
    <n v="5"/>
    <x v="0"/>
    <n v="1"/>
    <x v="3"/>
    <s v="DKK"/>
    <n v="1504069200"/>
    <n v="1504155600"/>
    <b v="0"/>
    <b v="1"/>
    <s v="publishing/nonfiction"/>
    <m/>
    <x v="5"/>
    <s v="nonfiction"/>
  </r>
  <r>
    <n v="301"/>
    <s v="Wong-Walker"/>
    <s v="Multi-channeled disintermediate policy"/>
    <n v="900"/>
    <n v="12102"/>
    <x v="1"/>
    <n v="295"/>
    <x v="1"/>
    <s v="USD"/>
    <n v="1424930400"/>
    <n v="1426395600"/>
    <b v="0"/>
    <b v="0"/>
    <s v="film &amp; video/documentary"/>
    <m/>
    <x v="4"/>
    <s v="documentary"/>
  </r>
  <r>
    <n v="302"/>
    <s v="Ferguson, Collins and Mata"/>
    <s v="Customizable bi-directional hardware"/>
    <n v="76100"/>
    <n v="24234"/>
    <x v="0"/>
    <n v="245"/>
    <x v="1"/>
    <s v="USD"/>
    <n v="1535864400"/>
    <n v="1537074000"/>
    <b v="0"/>
    <b v="0"/>
    <s v="theater/plays"/>
    <m/>
    <x v="3"/>
    <s v="plays"/>
  </r>
  <r>
    <n v="303"/>
    <s v="Guerrero, Flores and Jenkins"/>
    <s v="Networked optimal architecture"/>
    <n v="3400"/>
    <n v="2809"/>
    <x v="0"/>
    <n v="32"/>
    <x v="1"/>
    <s v="USD"/>
    <n v="1452146400"/>
    <n v="1452578400"/>
    <b v="0"/>
    <b v="0"/>
    <s v="music/indie rock"/>
    <m/>
    <x v="1"/>
    <s v="indie rock"/>
  </r>
  <r>
    <n v="304"/>
    <s v="Peterson PLC"/>
    <s v="User-friendly discrete benchmark"/>
    <n v="2100"/>
    <n v="11469"/>
    <x v="1"/>
    <n v="142"/>
    <x v="1"/>
    <s v="USD"/>
    <n v="1470546000"/>
    <n v="1474088400"/>
    <b v="0"/>
    <b v="0"/>
    <s v="film &amp; video/documentary"/>
    <m/>
    <x v="4"/>
    <s v="documentary"/>
  </r>
  <r>
    <n v="305"/>
    <s v="Townsend Ltd"/>
    <s v="Grass-roots actuating policy"/>
    <n v="2800"/>
    <n v="8014"/>
    <x v="1"/>
    <n v="85"/>
    <x v="1"/>
    <s v="USD"/>
    <n v="1458363600"/>
    <n v="1461906000"/>
    <b v="0"/>
    <b v="0"/>
    <s v="theater/plays"/>
    <m/>
    <x v="3"/>
    <s v="plays"/>
  </r>
  <r>
    <n v="306"/>
    <s v="Rush, Reed and Hall"/>
    <s v="Enterprise-wide 3rdgeneration knowledge user"/>
    <n v="6500"/>
    <n v="514"/>
    <x v="0"/>
    <n v="7"/>
    <x v="1"/>
    <s v="USD"/>
    <n v="1500008400"/>
    <n v="1500267600"/>
    <b v="0"/>
    <b v="1"/>
    <s v="theater/plays"/>
    <m/>
    <x v="3"/>
    <s v="plays"/>
  </r>
  <r>
    <n v="307"/>
    <s v="Salazar-Dodson"/>
    <s v="Face-to-face zero tolerance moderator"/>
    <n v="32900"/>
    <n v="43473"/>
    <x v="1"/>
    <n v="659"/>
    <x v="3"/>
    <s v="DKK"/>
    <n v="1338958800"/>
    <n v="1340686800"/>
    <b v="0"/>
    <b v="1"/>
    <s v="publishing/fiction"/>
    <m/>
    <x v="5"/>
    <s v="fiction"/>
  </r>
  <r>
    <n v="308"/>
    <s v="Davis Ltd"/>
    <s v="Grass-roots optimizing projection"/>
    <n v="118200"/>
    <n v="87560"/>
    <x v="0"/>
    <n v="803"/>
    <x v="1"/>
    <s v="USD"/>
    <n v="1303102800"/>
    <n v="1303189200"/>
    <b v="0"/>
    <b v="0"/>
    <s v="theater/plays"/>
    <m/>
    <x v="3"/>
    <s v="plays"/>
  </r>
  <r>
    <n v="309"/>
    <s v="Harris-Perry"/>
    <s v="User-centric 6thgeneration attitude"/>
    <n v="4100"/>
    <n v="3087"/>
    <x v="3"/>
    <n v="75"/>
    <x v="1"/>
    <s v="USD"/>
    <n v="1316581200"/>
    <n v="1318309200"/>
    <b v="0"/>
    <b v="1"/>
    <s v="music/indie rock"/>
    <m/>
    <x v="1"/>
    <s v="indie rock"/>
  </r>
  <r>
    <n v="310"/>
    <s v="Velazquez, Hunt and Ortiz"/>
    <s v="Switchable zero tolerance website"/>
    <n v="7800"/>
    <n v="1586"/>
    <x v="0"/>
    <n v="16"/>
    <x v="1"/>
    <s v="USD"/>
    <n v="1270789200"/>
    <n v="1272171600"/>
    <b v="0"/>
    <b v="0"/>
    <s v="games/video games"/>
    <m/>
    <x v="6"/>
    <s v="video games"/>
  </r>
  <r>
    <n v="311"/>
    <s v="Flores PLC"/>
    <s v="Focused real-time help-desk"/>
    <n v="6300"/>
    <n v="12812"/>
    <x v="1"/>
    <n v="121"/>
    <x v="1"/>
    <s v="USD"/>
    <n v="1297836000"/>
    <n v="1298872800"/>
    <b v="0"/>
    <b v="0"/>
    <s v="theater/plays"/>
    <m/>
    <x v="3"/>
    <s v="plays"/>
  </r>
  <r>
    <n v="312"/>
    <s v="Martinez LLC"/>
    <s v="Robust impactful approach"/>
    <n v="59100"/>
    <n v="183345"/>
    <x v="1"/>
    <n v="3742"/>
    <x v="1"/>
    <s v="USD"/>
    <n v="1382677200"/>
    <n v="1383282000"/>
    <b v="0"/>
    <b v="0"/>
    <s v="theater/plays"/>
    <m/>
    <x v="3"/>
    <s v="plays"/>
  </r>
  <r>
    <n v="313"/>
    <s v="Miller-Irwin"/>
    <s v="Secured maximized policy"/>
    <n v="2200"/>
    <n v="8697"/>
    <x v="1"/>
    <n v="223"/>
    <x v="1"/>
    <s v="USD"/>
    <n v="1330322400"/>
    <n v="1330495200"/>
    <b v="0"/>
    <b v="0"/>
    <s v="music/rock"/>
    <m/>
    <x v="1"/>
    <s v="rock"/>
  </r>
  <r>
    <n v="314"/>
    <s v="Sanchez-Morgan"/>
    <s v="Realigned upward-trending strategy"/>
    <n v="1400"/>
    <n v="4126"/>
    <x v="1"/>
    <n v="133"/>
    <x v="1"/>
    <s v="USD"/>
    <n v="1552366800"/>
    <n v="1552798800"/>
    <b v="0"/>
    <b v="1"/>
    <s v="film &amp; video/documentary"/>
    <m/>
    <x v="4"/>
    <s v="documentary"/>
  </r>
  <r>
    <n v="315"/>
    <s v="Lopez, Adams and Johnson"/>
    <s v="Open-source interactive knowledge user"/>
    <n v="9500"/>
    <n v="3220"/>
    <x v="0"/>
    <n v="31"/>
    <x v="1"/>
    <s v="USD"/>
    <n v="1400907600"/>
    <n v="1403413200"/>
    <b v="0"/>
    <b v="0"/>
    <s v="theater/plays"/>
    <m/>
    <x v="3"/>
    <s v="plays"/>
  </r>
  <r>
    <n v="316"/>
    <s v="Martin-Marshall"/>
    <s v="Configurable demand-driven matrix"/>
    <n v="9600"/>
    <n v="6401"/>
    <x v="0"/>
    <n v="108"/>
    <x v="6"/>
    <s v="EUR"/>
    <n v="1574143200"/>
    <n v="1574229600"/>
    <b v="0"/>
    <b v="1"/>
    <s v="food/food trucks"/>
    <m/>
    <x v="0"/>
    <s v="food trucks"/>
  </r>
  <r>
    <n v="317"/>
    <s v="Summers PLC"/>
    <s v="Cross-group coherent hierarchy"/>
    <n v="6600"/>
    <n v="1269"/>
    <x v="0"/>
    <n v="30"/>
    <x v="1"/>
    <s v="USD"/>
    <n v="1494738000"/>
    <n v="1495861200"/>
    <b v="0"/>
    <b v="0"/>
    <s v="theater/plays"/>
    <m/>
    <x v="3"/>
    <s v="plays"/>
  </r>
  <r>
    <n v="318"/>
    <s v="Young, Hart and Ryan"/>
    <s v="Decentralized demand-driven open system"/>
    <n v="5700"/>
    <n v="903"/>
    <x v="0"/>
    <n v="17"/>
    <x v="1"/>
    <s v="USD"/>
    <n v="1392357600"/>
    <n v="1392530400"/>
    <b v="0"/>
    <b v="0"/>
    <s v="music/rock"/>
    <m/>
    <x v="1"/>
    <s v="rock"/>
  </r>
  <r>
    <n v="319"/>
    <s v="Mills Group"/>
    <s v="Advanced empowering matrix"/>
    <n v="8400"/>
    <n v="3251"/>
    <x v="3"/>
    <n v="64"/>
    <x v="1"/>
    <s v="USD"/>
    <n v="1281589200"/>
    <n v="1283662800"/>
    <b v="0"/>
    <b v="0"/>
    <s v="technology/web"/>
    <m/>
    <x v="2"/>
    <s v="web"/>
  </r>
  <r>
    <n v="320"/>
    <s v="Sandoval-Powell"/>
    <s v="Phased holistic implementation"/>
    <n v="84400"/>
    <n v="8092"/>
    <x v="0"/>
    <n v="80"/>
    <x v="1"/>
    <s v="USD"/>
    <n v="1305003600"/>
    <n v="1305781200"/>
    <b v="0"/>
    <b v="0"/>
    <s v="publishing/fiction"/>
    <m/>
    <x v="5"/>
    <s v="fiction"/>
  </r>
  <r>
    <n v="321"/>
    <s v="Mills, Frazier and Perez"/>
    <s v="Proactive attitude-oriented knowledge user"/>
    <n v="170400"/>
    <n v="160422"/>
    <x v="0"/>
    <n v="2468"/>
    <x v="1"/>
    <s v="USD"/>
    <n v="1301634000"/>
    <n v="1302325200"/>
    <b v="0"/>
    <b v="0"/>
    <s v="film &amp; video/shorts"/>
    <m/>
    <x v="4"/>
    <s v="shorts"/>
  </r>
  <r>
    <n v="322"/>
    <s v="Hebert Group"/>
    <s v="Visionary asymmetric Graphical User Interface"/>
    <n v="117900"/>
    <n v="196377"/>
    <x v="1"/>
    <n v="5168"/>
    <x v="1"/>
    <s v="USD"/>
    <n v="1290664800"/>
    <n v="1291788000"/>
    <b v="0"/>
    <b v="0"/>
    <s v="theater/plays"/>
    <m/>
    <x v="3"/>
    <s v="plays"/>
  </r>
  <r>
    <n v="323"/>
    <s v="Cole, Smith and Wood"/>
    <s v="Integrated zero-defect help-desk"/>
    <n v="8900"/>
    <n v="2148"/>
    <x v="0"/>
    <n v="26"/>
    <x v="4"/>
    <s v="GBP"/>
    <n v="1395896400"/>
    <n v="1396069200"/>
    <b v="0"/>
    <b v="0"/>
    <s v="film &amp; video/documentary"/>
    <m/>
    <x v="4"/>
    <s v="documentary"/>
  </r>
  <r>
    <n v="324"/>
    <s v="Harris, Hall and Harris"/>
    <s v="Inverse analyzing matrices"/>
    <n v="7100"/>
    <n v="11648"/>
    <x v="1"/>
    <n v="307"/>
    <x v="1"/>
    <s v="USD"/>
    <n v="1434862800"/>
    <n v="1435899600"/>
    <b v="0"/>
    <b v="1"/>
    <s v="theater/plays"/>
    <m/>
    <x v="3"/>
    <s v="plays"/>
  </r>
  <r>
    <n v="325"/>
    <s v="Saunders Group"/>
    <s v="Programmable systemic implementation"/>
    <n v="6500"/>
    <n v="5897"/>
    <x v="0"/>
    <n v="73"/>
    <x v="1"/>
    <s v="USD"/>
    <n v="1529125200"/>
    <n v="1531112400"/>
    <b v="0"/>
    <b v="1"/>
    <s v="theater/plays"/>
    <m/>
    <x v="3"/>
    <s v="plays"/>
  </r>
  <r>
    <n v="326"/>
    <s v="Pham, Avila and Nash"/>
    <s v="Multi-channeled next generation architecture"/>
    <n v="7200"/>
    <n v="3326"/>
    <x v="0"/>
    <n v="128"/>
    <x v="1"/>
    <s v="USD"/>
    <n v="1451109600"/>
    <n v="1451628000"/>
    <b v="0"/>
    <b v="0"/>
    <s v="film &amp; video/animation"/>
    <m/>
    <x v="4"/>
    <s v="animation"/>
  </r>
  <r>
    <n v="327"/>
    <s v="Patterson, Salinas and Lucas"/>
    <s v="Digitized 3rdgeneration encoding"/>
    <n v="2600"/>
    <n v="1002"/>
    <x v="0"/>
    <n v="33"/>
    <x v="1"/>
    <s v="USD"/>
    <n v="1566968400"/>
    <n v="1567314000"/>
    <b v="0"/>
    <b v="1"/>
    <s v="theater/plays"/>
    <m/>
    <x v="3"/>
    <s v="plays"/>
  </r>
  <r>
    <n v="328"/>
    <s v="Young PLC"/>
    <s v="Innovative well-modulated functionalities"/>
    <n v="98700"/>
    <n v="131826"/>
    <x v="1"/>
    <n v="2441"/>
    <x v="1"/>
    <s v="USD"/>
    <n v="1543557600"/>
    <n v="1544508000"/>
    <b v="0"/>
    <b v="0"/>
    <s v="music/rock"/>
    <m/>
    <x v="1"/>
    <s v="rock"/>
  </r>
  <r>
    <n v="329"/>
    <s v="Willis and Sons"/>
    <s v="Fundamental incremental database"/>
    <n v="93800"/>
    <n v="21477"/>
    <x v="2"/>
    <n v="211"/>
    <x v="1"/>
    <s v="USD"/>
    <n v="1481522400"/>
    <n v="1482472800"/>
    <b v="0"/>
    <b v="0"/>
    <s v="games/video games"/>
    <m/>
    <x v="6"/>
    <s v="video games"/>
  </r>
  <r>
    <n v="330"/>
    <s v="Thompson-Bates"/>
    <s v="Expanded encompassing open architecture"/>
    <n v="33700"/>
    <n v="62330"/>
    <x v="1"/>
    <n v="1385"/>
    <x v="4"/>
    <s v="GBP"/>
    <n v="1512712800"/>
    <n v="1512799200"/>
    <b v="0"/>
    <b v="0"/>
    <s v="film &amp; video/documentary"/>
    <m/>
    <x v="4"/>
    <s v="documentary"/>
  </r>
  <r>
    <n v="331"/>
    <s v="Rose-Silva"/>
    <s v="Intuitive static portal"/>
    <n v="3300"/>
    <n v="14643"/>
    <x v="1"/>
    <n v="190"/>
    <x v="1"/>
    <s v="USD"/>
    <n v="1324274400"/>
    <n v="1324360800"/>
    <b v="0"/>
    <b v="0"/>
    <s v="food/food trucks"/>
    <m/>
    <x v="0"/>
    <s v="food trucks"/>
  </r>
  <r>
    <n v="332"/>
    <s v="Pacheco, Johnson and Torres"/>
    <s v="Optional bandwidth-monitored definition"/>
    <n v="20700"/>
    <n v="41396"/>
    <x v="1"/>
    <n v="470"/>
    <x v="1"/>
    <s v="USD"/>
    <n v="1364446800"/>
    <n v="1364533200"/>
    <b v="0"/>
    <b v="0"/>
    <s v="technology/wearables"/>
    <m/>
    <x v="2"/>
    <s v="wearables"/>
  </r>
  <r>
    <n v="333"/>
    <s v="Carlson, Dixon and Jones"/>
    <s v="Persistent well-modulated synergy"/>
    <n v="9600"/>
    <n v="11900"/>
    <x v="1"/>
    <n v="253"/>
    <x v="1"/>
    <s v="USD"/>
    <n v="1542693600"/>
    <n v="1545112800"/>
    <b v="0"/>
    <b v="0"/>
    <s v="theater/plays"/>
    <m/>
    <x v="3"/>
    <s v="plays"/>
  </r>
  <r>
    <n v="334"/>
    <s v="Mcgee Group"/>
    <s v="Assimilated discrete algorithm"/>
    <n v="66200"/>
    <n v="123538"/>
    <x v="1"/>
    <n v="1113"/>
    <x v="1"/>
    <s v="USD"/>
    <n v="1515564000"/>
    <n v="1516168800"/>
    <b v="0"/>
    <b v="0"/>
    <s v="music/rock"/>
    <m/>
    <x v="1"/>
    <s v="rock"/>
  </r>
  <r>
    <n v="335"/>
    <s v="Jordan-Acosta"/>
    <s v="Operative uniform hub"/>
    <n v="173800"/>
    <n v="198628"/>
    <x v="1"/>
    <n v="2283"/>
    <x v="1"/>
    <s v="USD"/>
    <n v="1573797600"/>
    <n v="1574920800"/>
    <b v="0"/>
    <b v="0"/>
    <s v="music/rock"/>
    <m/>
    <x v="1"/>
    <s v="rock"/>
  </r>
  <r>
    <n v="336"/>
    <s v="Nunez Inc"/>
    <s v="Customizable intangible capability"/>
    <n v="70700"/>
    <n v="68602"/>
    <x v="0"/>
    <n v="1072"/>
    <x v="1"/>
    <s v="USD"/>
    <n v="1292392800"/>
    <n v="1292479200"/>
    <b v="0"/>
    <b v="1"/>
    <s v="music/rock"/>
    <m/>
    <x v="1"/>
    <s v="rock"/>
  </r>
  <r>
    <n v="337"/>
    <s v="Hayden Ltd"/>
    <s v="Innovative didactic analyzer"/>
    <n v="94500"/>
    <n v="116064"/>
    <x v="1"/>
    <n v="1095"/>
    <x v="1"/>
    <s v="USD"/>
    <n v="1573452000"/>
    <n v="1573538400"/>
    <b v="0"/>
    <b v="0"/>
    <s v="theater/plays"/>
    <m/>
    <x v="3"/>
    <s v="plays"/>
  </r>
  <r>
    <n v="338"/>
    <s v="Gonzalez-Burton"/>
    <s v="Decentralized intangible encoding"/>
    <n v="69800"/>
    <n v="125042"/>
    <x v="1"/>
    <n v="1690"/>
    <x v="1"/>
    <s v="USD"/>
    <n v="1317790800"/>
    <n v="1320382800"/>
    <b v="0"/>
    <b v="0"/>
    <s v="theater/plays"/>
    <m/>
    <x v="3"/>
    <s v="plays"/>
  </r>
  <r>
    <n v="339"/>
    <s v="Lewis, Taylor and Rivers"/>
    <s v="Front-line transitional algorithm"/>
    <n v="136300"/>
    <n v="108974"/>
    <x v="3"/>
    <n v="1297"/>
    <x v="0"/>
    <s v="CAD"/>
    <n v="1501650000"/>
    <n v="1502859600"/>
    <b v="0"/>
    <b v="0"/>
    <s v="theater/plays"/>
    <m/>
    <x v="3"/>
    <s v="plays"/>
  </r>
  <r>
    <n v="340"/>
    <s v="Butler, Henry and Espinoza"/>
    <s v="Switchable didactic matrices"/>
    <n v="37100"/>
    <n v="34964"/>
    <x v="0"/>
    <n v="393"/>
    <x v="1"/>
    <s v="USD"/>
    <n v="1323669600"/>
    <n v="1323756000"/>
    <b v="0"/>
    <b v="0"/>
    <s v="photography/photography books"/>
    <m/>
    <x v="7"/>
    <s v="photography books"/>
  </r>
  <r>
    <n v="341"/>
    <s v="Guzman Group"/>
    <s v="Ameliorated disintermediate utilization"/>
    <n v="114300"/>
    <n v="96777"/>
    <x v="0"/>
    <n v="1257"/>
    <x v="1"/>
    <s v="USD"/>
    <n v="1440738000"/>
    <n v="1441342800"/>
    <b v="0"/>
    <b v="0"/>
    <s v="music/indie rock"/>
    <m/>
    <x v="1"/>
    <s v="indie rock"/>
  </r>
  <r>
    <n v="342"/>
    <s v="Gibson-Hernandez"/>
    <s v="Visionary foreground middleware"/>
    <n v="47900"/>
    <n v="31864"/>
    <x v="0"/>
    <n v="328"/>
    <x v="1"/>
    <s v="USD"/>
    <n v="1374296400"/>
    <n v="1375333200"/>
    <b v="0"/>
    <b v="0"/>
    <s v="theater/plays"/>
    <m/>
    <x v="3"/>
    <s v="plays"/>
  </r>
  <r>
    <n v="343"/>
    <s v="Spencer-Weber"/>
    <s v="Optional zero-defect task-force"/>
    <n v="9000"/>
    <n v="4853"/>
    <x v="0"/>
    <n v="147"/>
    <x v="1"/>
    <s v="USD"/>
    <n v="1384840800"/>
    <n v="1389420000"/>
    <b v="0"/>
    <b v="0"/>
    <s v="theater/plays"/>
    <m/>
    <x v="3"/>
    <s v="plays"/>
  </r>
  <r>
    <n v="344"/>
    <s v="Berger, Johnson and Marshall"/>
    <s v="Devolved exuding emulation"/>
    <n v="197600"/>
    <n v="82959"/>
    <x v="0"/>
    <n v="830"/>
    <x v="1"/>
    <s v="USD"/>
    <n v="1516600800"/>
    <n v="1520056800"/>
    <b v="0"/>
    <b v="0"/>
    <s v="games/video games"/>
    <m/>
    <x v="6"/>
    <s v="video games"/>
  </r>
  <r>
    <n v="345"/>
    <s v="Taylor, Cisneros and Romero"/>
    <s v="Open-source neutral task-force"/>
    <n v="157600"/>
    <n v="23159"/>
    <x v="0"/>
    <n v="331"/>
    <x v="4"/>
    <s v="GBP"/>
    <n v="1436418000"/>
    <n v="1436504400"/>
    <b v="0"/>
    <b v="0"/>
    <s v="film &amp; video/drama"/>
    <m/>
    <x v="4"/>
    <s v="drama"/>
  </r>
  <r>
    <n v="346"/>
    <s v="Little-Marsh"/>
    <s v="Virtual attitude-oriented migration"/>
    <n v="8000"/>
    <n v="2758"/>
    <x v="0"/>
    <n v="25"/>
    <x v="1"/>
    <s v="USD"/>
    <n v="1503550800"/>
    <n v="1508302800"/>
    <b v="0"/>
    <b v="1"/>
    <s v="music/indie rock"/>
    <m/>
    <x v="1"/>
    <s v="indie rock"/>
  </r>
  <r>
    <n v="347"/>
    <s v="Petersen and Sons"/>
    <s v="Open-source full-range portal"/>
    <n v="900"/>
    <n v="12607"/>
    <x v="1"/>
    <n v="191"/>
    <x v="1"/>
    <s v="USD"/>
    <n v="1423634400"/>
    <n v="1425708000"/>
    <b v="0"/>
    <b v="0"/>
    <s v="technology/web"/>
    <m/>
    <x v="2"/>
    <s v="web"/>
  </r>
  <r>
    <n v="348"/>
    <s v="Hensley Ltd"/>
    <s v="Versatile cohesive open system"/>
    <n v="199000"/>
    <n v="142823"/>
    <x v="0"/>
    <n v="3483"/>
    <x v="1"/>
    <s v="USD"/>
    <n v="1487224800"/>
    <n v="1488348000"/>
    <b v="0"/>
    <b v="0"/>
    <s v="food/food trucks"/>
    <m/>
    <x v="0"/>
    <s v="food trucks"/>
  </r>
  <r>
    <n v="349"/>
    <s v="Navarro and Sons"/>
    <s v="Multi-layered bottom-line frame"/>
    <n v="180800"/>
    <n v="95958"/>
    <x v="0"/>
    <n v="923"/>
    <x v="1"/>
    <s v="USD"/>
    <n v="1500008400"/>
    <n v="1502600400"/>
    <b v="0"/>
    <b v="0"/>
    <s v="theater/plays"/>
    <m/>
    <x v="3"/>
    <s v="plays"/>
  </r>
  <r>
    <n v="350"/>
    <s v="Shannon Ltd"/>
    <s v="Pre-emptive neutral capacity"/>
    <n v="100"/>
    <n v="5"/>
    <x v="0"/>
    <n v="1"/>
    <x v="1"/>
    <s v="USD"/>
    <n v="1432098000"/>
    <n v="1433653200"/>
    <b v="0"/>
    <b v="1"/>
    <s v="music/jazz"/>
    <m/>
    <x v="1"/>
    <s v="jazz"/>
  </r>
  <r>
    <n v="351"/>
    <s v="Young LLC"/>
    <s v="Universal maximized methodology"/>
    <n v="74100"/>
    <n v="94631"/>
    <x v="1"/>
    <n v="2013"/>
    <x v="1"/>
    <s v="USD"/>
    <n v="1440392400"/>
    <n v="1441602000"/>
    <b v="0"/>
    <b v="0"/>
    <s v="music/rock"/>
    <m/>
    <x v="1"/>
    <s v="rock"/>
  </r>
  <r>
    <n v="352"/>
    <s v="Adams, Willis and Sanchez"/>
    <s v="Expanded hybrid hardware"/>
    <n v="2800"/>
    <n v="977"/>
    <x v="0"/>
    <n v="33"/>
    <x v="0"/>
    <s v="CAD"/>
    <n v="1446876000"/>
    <n v="1447567200"/>
    <b v="0"/>
    <b v="0"/>
    <s v="theater/plays"/>
    <m/>
    <x v="3"/>
    <s v="plays"/>
  </r>
  <r>
    <n v="353"/>
    <s v="Mills-Roy"/>
    <s v="Profit-focused multi-tasking access"/>
    <n v="33600"/>
    <n v="137961"/>
    <x v="1"/>
    <n v="1703"/>
    <x v="1"/>
    <s v="USD"/>
    <n v="1562302800"/>
    <n v="1562389200"/>
    <b v="0"/>
    <b v="0"/>
    <s v="theater/plays"/>
    <m/>
    <x v="3"/>
    <s v="plays"/>
  </r>
  <r>
    <n v="354"/>
    <s v="Brown Group"/>
    <s v="Profit-focused transitional capability"/>
    <n v="6100"/>
    <n v="7548"/>
    <x v="1"/>
    <n v="80"/>
    <x v="3"/>
    <s v="DKK"/>
    <n v="1378184400"/>
    <n v="1378789200"/>
    <b v="0"/>
    <b v="0"/>
    <s v="film &amp; video/documentary"/>
    <m/>
    <x v="4"/>
    <s v="documentary"/>
  </r>
  <r>
    <n v="355"/>
    <s v="Burns-Burnett"/>
    <s v="Front-line scalable definition"/>
    <n v="3800"/>
    <n v="2241"/>
    <x v="2"/>
    <n v="86"/>
    <x v="1"/>
    <s v="USD"/>
    <n v="1485064800"/>
    <n v="1488520800"/>
    <b v="0"/>
    <b v="0"/>
    <s v="technology/wearables"/>
    <m/>
    <x v="2"/>
    <s v="wearables"/>
  </r>
  <r>
    <n v="356"/>
    <s v="Glass, Nunez and Mcdonald"/>
    <s v="Open-source systematic protocol"/>
    <n v="9300"/>
    <n v="3431"/>
    <x v="0"/>
    <n v="40"/>
    <x v="6"/>
    <s v="EUR"/>
    <n v="1326520800"/>
    <n v="1327298400"/>
    <b v="0"/>
    <b v="0"/>
    <s v="theater/plays"/>
    <m/>
    <x v="3"/>
    <s v="plays"/>
  </r>
  <r>
    <n v="357"/>
    <s v="Perez, Davis and Wilson"/>
    <s v="Implemented tangible algorithm"/>
    <n v="2300"/>
    <n v="4253"/>
    <x v="1"/>
    <n v="41"/>
    <x v="1"/>
    <s v="USD"/>
    <n v="1441256400"/>
    <n v="1443416400"/>
    <b v="0"/>
    <b v="0"/>
    <s v="games/video games"/>
    <m/>
    <x v="6"/>
    <s v="video games"/>
  </r>
  <r>
    <n v="358"/>
    <s v="Diaz-Garcia"/>
    <s v="Profit-focused 3rdgeneration circuit"/>
    <n v="9700"/>
    <n v="1146"/>
    <x v="0"/>
    <n v="23"/>
    <x v="0"/>
    <s v="CAD"/>
    <n v="1533877200"/>
    <n v="1534136400"/>
    <b v="1"/>
    <b v="0"/>
    <s v="photography/photography books"/>
    <m/>
    <x v="7"/>
    <s v="photography books"/>
  </r>
  <r>
    <n v="359"/>
    <s v="Salazar-Moon"/>
    <s v="Compatible needs-based architecture"/>
    <n v="4000"/>
    <n v="11948"/>
    <x v="1"/>
    <n v="187"/>
    <x v="1"/>
    <s v="USD"/>
    <n v="1314421200"/>
    <n v="1315026000"/>
    <b v="0"/>
    <b v="0"/>
    <s v="film &amp; video/animation"/>
    <m/>
    <x v="4"/>
    <s v="animation"/>
  </r>
  <r>
    <n v="360"/>
    <s v="Larsen-Chung"/>
    <s v="Right-sized zero tolerance migration"/>
    <n v="59700"/>
    <n v="135132"/>
    <x v="1"/>
    <n v="2875"/>
    <x v="4"/>
    <s v="GBP"/>
    <n v="1293861600"/>
    <n v="1295071200"/>
    <b v="0"/>
    <b v="1"/>
    <s v="theater/plays"/>
    <m/>
    <x v="3"/>
    <s v="plays"/>
  </r>
  <r>
    <n v="361"/>
    <s v="Anderson and Sons"/>
    <s v="Quality-focused reciprocal structure"/>
    <n v="5500"/>
    <n v="9546"/>
    <x v="1"/>
    <n v="88"/>
    <x v="1"/>
    <s v="USD"/>
    <n v="1507352400"/>
    <n v="1509426000"/>
    <b v="0"/>
    <b v="0"/>
    <s v="theater/plays"/>
    <m/>
    <x v="3"/>
    <s v="plays"/>
  </r>
  <r>
    <n v="362"/>
    <s v="Lawrence Group"/>
    <s v="Automated actuating conglomeration"/>
    <n v="3700"/>
    <n v="13755"/>
    <x v="1"/>
    <n v="191"/>
    <x v="1"/>
    <s v="USD"/>
    <n v="1296108000"/>
    <n v="1299391200"/>
    <b v="0"/>
    <b v="0"/>
    <s v="music/rock"/>
    <m/>
    <x v="1"/>
    <s v="rock"/>
  </r>
  <r>
    <n v="363"/>
    <s v="Gray-Davis"/>
    <s v="Re-contextualized local initiative"/>
    <n v="5200"/>
    <n v="8330"/>
    <x v="1"/>
    <n v="139"/>
    <x v="1"/>
    <s v="USD"/>
    <n v="1324965600"/>
    <n v="1325052000"/>
    <b v="0"/>
    <b v="0"/>
    <s v="music/rock"/>
    <m/>
    <x v="1"/>
    <s v="rock"/>
  </r>
  <r>
    <n v="364"/>
    <s v="Ramirez-Myers"/>
    <s v="Switchable intangible definition"/>
    <n v="900"/>
    <n v="14547"/>
    <x v="1"/>
    <n v="186"/>
    <x v="1"/>
    <s v="USD"/>
    <n v="1520229600"/>
    <n v="1522818000"/>
    <b v="0"/>
    <b v="0"/>
    <s v="music/indie rock"/>
    <m/>
    <x v="1"/>
    <s v="indie rock"/>
  </r>
  <r>
    <n v="365"/>
    <s v="Lucas, Hall and Bonilla"/>
    <s v="Networked bottom-line initiative"/>
    <n v="1600"/>
    <n v="11735"/>
    <x v="1"/>
    <n v="112"/>
    <x v="2"/>
    <s v="AUD"/>
    <n v="1482991200"/>
    <n v="1485324000"/>
    <b v="0"/>
    <b v="0"/>
    <s v="theater/plays"/>
    <m/>
    <x v="3"/>
    <s v="plays"/>
  </r>
  <r>
    <n v="366"/>
    <s v="Williams, Perez and Villegas"/>
    <s v="Robust directional system engine"/>
    <n v="1800"/>
    <n v="10658"/>
    <x v="1"/>
    <n v="101"/>
    <x v="1"/>
    <s v="USD"/>
    <n v="1294034400"/>
    <n v="1294120800"/>
    <b v="0"/>
    <b v="1"/>
    <s v="theater/plays"/>
    <m/>
    <x v="3"/>
    <s v="plays"/>
  </r>
  <r>
    <n v="367"/>
    <s v="Brooks, Jones and Ingram"/>
    <s v="Triple-buffered explicit methodology"/>
    <n v="9900"/>
    <n v="1870"/>
    <x v="0"/>
    <n v="75"/>
    <x v="1"/>
    <s v="USD"/>
    <n v="1413608400"/>
    <n v="1415685600"/>
    <b v="0"/>
    <b v="1"/>
    <s v="theater/plays"/>
    <m/>
    <x v="3"/>
    <s v="plays"/>
  </r>
  <r>
    <n v="368"/>
    <s v="Whitaker, Wallace and Daniels"/>
    <s v="Reactive directional capacity"/>
    <n v="5200"/>
    <n v="14394"/>
    <x v="1"/>
    <n v="206"/>
    <x v="4"/>
    <s v="GBP"/>
    <n v="1286946000"/>
    <n v="1288933200"/>
    <b v="0"/>
    <b v="1"/>
    <s v="film &amp; video/documentary"/>
    <m/>
    <x v="4"/>
    <s v="documentary"/>
  </r>
  <r>
    <n v="369"/>
    <s v="Smith-Gonzalez"/>
    <s v="Polarized needs-based approach"/>
    <n v="5400"/>
    <n v="14743"/>
    <x v="1"/>
    <n v="154"/>
    <x v="1"/>
    <s v="USD"/>
    <n v="1359871200"/>
    <n v="1363237200"/>
    <b v="0"/>
    <b v="1"/>
    <s v="film &amp; video/television"/>
    <m/>
    <x v="4"/>
    <s v="television"/>
  </r>
  <r>
    <n v="370"/>
    <s v="Skinner PLC"/>
    <s v="Intuitive well-modulated middleware"/>
    <n v="112300"/>
    <n v="178965"/>
    <x v="1"/>
    <n v="5966"/>
    <x v="1"/>
    <s v="USD"/>
    <n v="1555304400"/>
    <n v="1555822800"/>
    <b v="0"/>
    <b v="0"/>
    <s v="theater/plays"/>
    <m/>
    <x v="3"/>
    <s v="plays"/>
  </r>
  <r>
    <n v="371"/>
    <s v="Nolan, Smith and Sanchez"/>
    <s v="Multi-channeled logistical matrices"/>
    <n v="189200"/>
    <n v="128410"/>
    <x v="0"/>
    <n v="2176"/>
    <x v="1"/>
    <s v="USD"/>
    <n v="1423375200"/>
    <n v="1427778000"/>
    <b v="0"/>
    <b v="0"/>
    <s v="theater/plays"/>
    <m/>
    <x v="3"/>
    <s v="plays"/>
  </r>
  <r>
    <n v="372"/>
    <s v="Green-Carr"/>
    <s v="Pre-emptive bifurcated artificial intelligence"/>
    <n v="900"/>
    <n v="14324"/>
    <x v="1"/>
    <n v="169"/>
    <x v="1"/>
    <s v="USD"/>
    <n v="1420696800"/>
    <n v="1422424800"/>
    <b v="0"/>
    <b v="1"/>
    <s v="film &amp; video/documentary"/>
    <m/>
    <x v="4"/>
    <s v="documentary"/>
  </r>
  <r>
    <n v="373"/>
    <s v="Brown-Parker"/>
    <s v="Down-sized coherent toolset"/>
    <n v="22500"/>
    <n v="164291"/>
    <x v="1"/>
    <n v="2106"/>
    <x v="1"/>
    <s v="USD"/>
    <n v="1502946000"/>
    <n v="1503637200"/>
    <b v="0"/>
    <b v="0"/>
    <s v="theater/plays"/>
    <m/>
    <x v="3"/>
    <s v="plays"/>
  </r>
  <r>
    <n v="374"/>
    <s v="Marshall Inc"/>
    <s v="Open-source multi-tasking data-warehouse"/>
    <n v="167400"/>
    <n v="22073"/>
    <x v="0"/>
    <n v="441"/>
    <x v="1"/>
    <s v="USD"/>
    <n v="1547186400"/>
    <n v="1547618400"/>
    <b v="0"/>
    <b v="1"/>
    <s v="film &amp; video/documentary"/>
    <m/>
    <x v="4"/>
    <s v="documentary"/>
  </r>
  <r>
    <n v="375"/>
    <s v="Leblanc-Pineda"/>
    <s v="Future-proofed upward-trending contingency"/>
    <n v="2700"/>
    <n v="1479"/>
    <x v="0"/>
    <n v="25"/>
    <x v="1"/>
    <s v="USD"/>
    <n v="1444971600"/>
    <n v="1449900000"/>
    <b v="0"/>
    <b v="0"/>
    <s v="music/indie rock"/>
    <m/>
    <x v="1"/>
    <s v="indie rock"/>
  </r>
  <r>
    <n v="376"/>
    <s v="Perry PLC"/>
    <s v="Mandatory uniform matrix"/>
    <n v="3400"/>
    <n v="12275"/>
    <x v="1"/>
    <n v="131"/>
    <x v="1"/>
    <s v="USD"/>
    <n v="1404622800"/>
    <n v="1405141200"/>
    <b v="0"/>
    <b v="0"/>
    <s v="music/rock"/>
    <m/>
    <x v="1"/>
    <s v="rock"/>
  </r>
  <r>
    <n v="377"/>
    <s v="Klein, Stark and Livingston"/>
    <s v="Phased methodical initiative"/>
    <n v="49700"/>
    <n v="5098"/>
    <x v="0"/>
    <n v="127"/>
    <x v="1"/>
    <s v="USD"/>
    <n v="1571720400"/>
    <n v="1572933600"/>
    <b v="0"/>
    <b v="0"/>
    <s v="theater/plays"/>
    <m/>
    <x v="3"/>
    <s v="plays"/>
  </r>
  <r>
    <n v="378"/>
    <s v="Fleming-Oliver"/>
    <s v="Managed stable function"/>
    <n v="178200"/>
    <n v="24882"/>
    <x v="0"/>
    <n v="355"/>
    <x v="1"/>
    <s v="USD"/>
    <n v="1526878800"/>
    <n v="1530162000"/>
    <b v="0"/>
    <b v="0"/>
    <s v="film &amp; video/documentary"/>
    <m/>
    <x v="4"/>
    <s v="documentary"/>
  </r>
  <r>
    <n v="379"/>
    <s v="Reilly, Aguirre and Johnson"/>
    <s v="Realigned clear-thinking migration"/>
    <n v="7200"/>
    <n v="2912"/>
    <x v="0"/>
    <n v="44"/>
    <x v="4"/>
    <s v="GBP"/>
    <n v="1319691600"/>
    <n v="1320904800"/>
    <b v="0"/>
    <b v="0"/>
    <s v="theater/plays"/>
    <m/>
    <x v="3"/>
    <s v="plays"/>
  </r>
  <r>
    <n v="380"/>
    <s v="Davidson, Wilcox and Lewis"/>
    <s v="Optional clear-thinking process improvement"/>
    <n v="2500"/>
    <n v="4008"/>
    <x v="1"/>
    <n v="84"/>
    <x v="1"/>
    <s v="USD"/>
    <n v="1371963600"/>
    <n v="1372395600"/>
    <b v="0"/>
    <b v="0"/>
    <s v="theater/plays"/>
    <m/>
    <x v="3"/>
    <s v="plays"/>
  </r>
  <r>
    <n v="381"/>
    <s v="Michael, Anderson and Vincent"/>
    <s v="Cross-group global moratorium"/>
    <n v="5300"/>
    <n v="9749"/>
    <x v="1"/>
    <n v="155"/>
    <x v="1"/>
    <s v="USD"/>
    <n v="1433739600"/>
    <n v="1437714000"/>
    <b v="0"/>
    <b v="0"/>
    <s v="theater/plays"/>
    <m/>
    <x v="3"/>
    <s v="plays"/>
  </r>
  <r>
    <n v="382"/>
    <s v="King Ltd"/>
    <s v="Visionary systemic process improvement"/>
    <n v="9100"/>
    <n v="5803"/>
    <x v="0"/>
    <n v="67"/>
    <x v="1"/>
    <s v="USD"/>
    <n v="1508130000"/>
    <n v="1509771600"/>
    <b v="0"/>
    <b v="0"/>
    <s v="photography/photography books"/>
    <m/>
    <x v="7"/>
    <s v="photography books"/>
  </r>
  <r>
    <n v="383"/>
    <s v="Baker Ltd"/>
    <s v="Progressive intangible flexibility"/>
    <n v="6300"/>
    <n v="14199"/>
    <x v="1"/>
    <n v="189"/>
    <x v="1"/>
    <s v="USD"/>
    <n v="1550037600"/>
    <n v="1550556000"/>
    <b v="0"/>
    <b v="1"/>
    <s v="food/food trucks"/>
    <m/>
    <x v="0"/>
    <s v="food trucks"/>
  </r>
  <r>
    <n v="384"/>
    <s v="Baker, Collins and Smith"/>
    <s v="Reactive real-time software"/>
    <n v="114400"/>
    <n v="196779"/>
    <x v="1"/>
    <n v="4799"/>
    <x v="1"/>
    <s v="USD"/>
    <n v="1486706400"/>
    <n v="1489039200"/>
    <b v="1"/>
    <b v="1"/>
    <s v="film &amp; video/documentary"/>
    <m/>
    <x v="4"/>
    <s v="documentary"/>
  </r>
  <r>
    <n v="385"/>
    <s v="Warren-Harrison"/>
    <s v="Programmable incremental knowledge user"/>
    <n v="38900"/>
    <n v="56859"/>
    <x v="1"/>
    <n v="1137"/>
    <x v="1"/>
    <s v="USD"/>
    <n v="1553835600"/>
    <n v="1556600400"/>
    <b v="0"/>
    <b v="0"/>
    <s v="publishing/nonfiction"/>
    <m/>
    <x v="5"/>
    <s v="nonfiction"/>
  </r>
  <r>
    <n v="386"/>
    <s v="Gardner Group"/>
    <s v="Progressive 5thgeneration customer loyalty"/>
    <n v="135500"/>
    <n v="103554"/>
    <x v="0"/>
    <n v="1068"/>
    <x v="1"/>
    <s v="USD"/>
    <n v="1277528400"/>
    <n v="1278565200"/>
    <b v="0"/>
    <b v="0"/>
    <s v="theater/plays"/>
    <m/>
    <x v="3"/>
    <s v="plays"/>
  </r>
  <r>
    <n v="387"/>
    <s v="Flores-Lambert"/>
    <s v="Triple-buffered logistical frame"/>
    <n v="109000"/>
    <n v="42795"/>
    <x v="0"/>
    <n v="424"/>
    <x v="1"/>
    <s v="USD"/>
    <n v="1339477200"/>
    <n v="1339909200"/>
    <b v="0"/>
    <b v="0"/>
    <s v="technology/wearables"/>
    <m/>
    <x v="2"/>
    <s v="wearables"/>
  </r>
  <r>
    <n v="388"/>
    <s v="Cruz Ltd"/>
    <s v="Exclusive dynamic adapter"/>
    <n v="114800"/>
    <n v="12938"/>
    <x v="3"/>
    <n v="145"/>
    <x v="5"/>
    <s v="CHF"/>
    <n v="1325656800"/>
    <n v="1325829600"/>
    <b v="0"/>
    <b v="0"/>
    <s v="music/indie rock"/>
    <m/>
    <x v="1"/>
    <s v="indie rock"/>
  </r>
  <r>
    <n v="389"/>
    <s v="Knox-Garner"/>
    <s v="Automated systemic hierarchy"/>
    <n v="83000"/>
    <n v="101352"/>
    <x v="1"/>
    <n v="1152"/>
    <x v="1"/>
    <s v="USD"/>
    <n v="1288242000"/>
    <n v="1290578400"/>
    <b v="0"/>
    <b v="0"/>
    <s v="theater/plays"/>
    <m/>
    <x v="3"/>
    <s v="plays"/>
  </r>
  <r>
    <n v="390"/>
    <s v="Davis-Allen"/>
    <s v="Digitized eco-centric core"/>
    <n v="2400"/>
    <n v="4477"/>
    <x v="1"/>
    <n v="50"/>
    <x v="1"/>
    <s v="USD"/>
    <n v="1379048400"/>
    <n v="1380344400"/>
    <b v="0"/>
    <b v="0"/>
    <s v="photography/photography books"/>
    <m/>
    <x v="7"/>
    <s v="photography books"/>
  </r>
  <r>
    <n v="391"/>
    <s v="Miller-Patel"/>
    <s v="Mandatory uniform strategy"/>
    <n v="60400"/>
    <n v="4393"/>
    <x v="0"/>
    <n v="151"/>
    <x v="1"/>
    <s v="USD"/>
    <n v="1389679200"/>
    <n v="1389852000"/>
    <b v="0"/>
    <b v="0"/>
    <s v="publishing/nonfiction"/>
    <m/>
    <x v="5"/>
    <s v="nonfiction"/>
  </r>
  <r>
    <n v="392"/>
    <s v="Hernandez-Grimes"/>
    <s v="Profit-focused zero administration forecast"/>
    <n v="102900"/>
    <n v="67546"/>
    <x v="0"/>
    <n v="1608"/>
    <x v="1"/>
    <s v="USD"/>
    <n v="1294293600"/>
    <n v="1294466400"/>
    <b v="0"/>
    <b v="0"/>
    <s v="technology/wearables"/>
    <m/>
    <x v="2"/>
    <s v="wearables"/>
  </r>
  <r>
    <n v="393"/>
    <s v="Owens, Hall and Gonzalez"/>
    <s v="De-engineered static orchestration"/>
    <n v="62800"/>
    <n v="143788"/>
    <x v="1"/>
    <n v="3059"/>
    <x v="0"/>
    <s v="CAD"/>
    <n v="1500267600"/>
    <n v="1500354000"/>
    <b v="0"/>
    <b v="0"/>
    <s v="music/jazz"/>
    <m/>
    <x v="1"/>
    <s v="jazz"/>
  </r>
  <r>
    <n v="394"/>
    <s v="Noble-Bailey"/>
    <s v="Customizable dynamic info-mediaries"/>
    <n v="800"/>
    <n v="3755"/>
    <x v="1"/>
    <n v="34"/>
    <x v="1"/>
    <s v="USD"/>
    <n v="1375074000"/>
    <n v="1375938000"/>
    <b v="0"/>
    <b v="1"/>
    <s v="film &amp; video/documentary"/>
    <m/>
    <x v="4"/>
    <s v="documentary"/>
  </r>
  <r>
    <n v="395"/>
    <s v="Taylor PLC"/>
    <s v="Enhanced incremental budgetary management"/>
    <n v="7100"/>
    <n v="9238"/>
    <x v="1"/>
    <n v="220"/>
    <x v="1"/>
    <s v="USD"/>
    <n v="1323324000"/>
    <n v="1323410400"/>
    <b v="1"/>
    <b v="0"/>
    <s v="theater/plays"/>
    <m/>
    <x v="3"/>
    <s v="plays"/>
  </r>
  <r>
    <n v="396"/>
    <s v="Holmes PLC"/>
    <s v="Digitized local info-mediaries"/>
    <n v="46100"/>
    <n v="77012"/>
    <x v="1"/>
    <n v="1604"/>
    <x v="2"/>
    <s v="AUD"/>
    <n v="1538715600"/>
    <n v="1539406800"/>
    <b v="0"/>
    <b v="0"/>
    <s v="film &amp; video/drama"/>
    <m/>
    <x v="4"/>
    <s v="drama"/>
  </r>
  <r>
    <n v="397"/>
    <s v="Jones-Martin"/>
    <s v="Virtual systematic monitoring"/>
    <n v="8100"/>
    <n v="14083"/>
    <x v="1"/>
    <n v="454"/>
    <x v="1"/>
    <s v="USD"/>
    <n v="1369285200"/>
    <n v="1369803600"/>
    <b v="0"/>
    <b v="0"/>
    <s v="music/rock"/>
    <m/>
    <x v="1"/>
    <s v="rock"/>
  </r>
  <r>
    <n v="398"/>
    <s v="Myers LLC"/>
    <s v="Reactive bottom-line open architecture"/>
    <n v="1700"/>
    <n v="12202"/>
    <x v="1"/>
    <n v="123"/>
    <x v="6"/>
    <s v="EUR"/>
    <n v="1525755600"/>
    <n v="1525928400"/>
    <b v="0"/>
    <b v="1"/>
    <s v="film &amp; video/animation"/>
    <m/>
    <x v="4"/>
    <s v="animation"/>
  </r>
  <r>
    <n v="399"/>
    <s v="Acosta, Mullins and Morris"/>
    <s v="Pre-emptive interactive model"/>
    <n v="97300"/>
    <n v="62127"/>
    <x v="0"/>
    <n v="941"/>
    <x v="1"/>
    <s v="USD"/>
    <n v="1296626400"/>
    <n v="1297231200"/>
    <b v="0"/>
    <b v="0"/>
    <s v="music/indie rock"/>
    <m/>
    <x v="1"/>
    <s v="indie rock"/>
  </r>
  <r>
    <n v="400"/>
    <s v="Bell PLC"/>
    <s v="Ergonomic eco-centric open architecture"/>
    <n v="100"/>
    <n v="2"/>
    <x v="0"/>
    <n v="1"/>
    <x v="1"/>
    <s v="USD"/>
    <n v="1376629200"/>
    <n v="1378530000"/>
    <b v="0"/>
    <b v="1"/>
    <s v="photography/photography books"/>
    <m/>
    <x v="7"/>
    <s v="photography books"/>
  </r>
  <r>
    <n v="401"/>
    <s v="Smith-Schmidt"/>
    <s v="Inverse radical hierarchy"/>
    <n v="900"/>
    <n v="13772"/>
    <x v="1"/>
    <n v="299"/>
    <x v="1"/>
    <s v="USD"/>
    <n v="1572152400"/>
    <n v="1572152400"/>
    <b v="0"/>
    <b v="0"/>
    <s v="theater/plays"/>
    <m/>
    <x v="3"/>
    <s v="plays"/>
  </r>
  <r>
    <n v="402"/>
    <s v="Ruiz, Richardson and Cole"/>
    <s v="Team-oriented static interface"/>
    <n v="7300"/>
    <n v="2946"/>
    <x v="0"/>
    <n v="40"/>
    <x v="1"/>
    <s v="USD"/>
    <n v="1325829600"/>
    <n v="1329890400"/>
    <b v="0"/>
    <b v="1"/>
    <s v="film &amp; video/shorts"/>
    <m/>
    <x v="4"/>
    <s v="shorts"/>
  </r>
  <r>
    <n v="403"/>
    <s v="Leonard-Mcclain"/>
    <s v="Virtual foreground throughput"/>
    <n v="195800"/>
    <n v="168820"/>
    <x v="0"/>
    <n v="3015"/>
    <x v="0"/>
    <s v="CAD"/>
    <n v="1273640400"/>
    <n v="1276750800"/>
    <b v="0"/>
    <b v="1"/>
    <s v="theater/plays"/>
    <m/>
    <x v="3"/>
    <s v="plays"/>
  </r>
  <r>
    <n v="404"/>
    <s v="Bailey-Boyer"/>
    <s v="Visionary exuding Internet solution"/>
    <n v="48900"/>
    <n v="154321"/>
    <x v="1"/>
    <n v="2237"/>
    <x v="1"/>
    <s v="USD"/>
    <n v="1510639200"/>
    <n v="1510898400"/>
    <b v="0"/>
    <b v="0"/>
    <s v="theater/plays"/>
    <m/>
    <x v="3"/>
    <s v="plays"/>
  </r>
  <r>
    <n v="405"/>
    <s v="Lee LLC"/>
    <s v="Synchronized secondary analyzer"/>
    <n v="29600"/>
    <n v="26527"/>
    <x v="0"/>
    <n v="435"/>
    <x v="1"/>
    <s v="USD"/>
    <n v="1528088400"/>
    <n v="1532408400"/>
    <b v="0"/>
    <b v="0"/>
    <s v="theater/plays"/>
    <m/>
    <x v="3"/>
    <s v="plays"/>
  </r>
  <r>
    <n v="406"/>
    <s v="Lyons Inc"/>
    <s v="Balanced attitude-oriented parallelism"/>
    <n v="39300"/>
    <n v="71583"/>
    <x v="1"/>
    <n v="645"/>
    <x v="1"/>
    <s v="USD"/>
    <n v="1359525600"/>
    <n v="1360562400"/>
    <b v="1"/>
    <b v="0"/>
    <s v="film &amp; video/documentary"/>
    <m/>
    <x v="4"/>
    <s v="documentary"/>
  </r>
  <r>
    <n v="407"/>
    <s v="Herrera-Wilson"/>
    <s v="Organized bandwidth-monitored core"/>
    <n v="3400"/>
    <n v="12100"/>
    <x v="1"/>
    <n v="484"/>
    <x v="3"/>
    <s v="DKK"/>
    <n v="1570942800"/>
    <n v="1571547600"/>
    <b v="0"/>
    <b v="0"/>
    <s v="theater/plays"/>
    <m/>
    <x v="3"/>
    <s v="plays"/>
  </r>
  <r>
    <n v="408"/>
    <s v="Mahoney, Adams and Lucas"/>
    <s v="Cloned leadingedge utilization"/>
    <n v="9200"/>
    <n v="12129"/>
    <x v="1"/>
    <n v="154"/>
    <x v="0"/>
    <s v="CAD"/>
    <n v="1466398800"/>
    <n v="1468126800"/>
    <b v="0"/>
    <b v="0"/>
    <s v="film &amp; video/documentary"/>
    <m/>
    <x v="4"/>
    <s v="documentary"/>
  </r>
  <r>
    <n v="409"/>
    <s v="Stewart LLC"/>
    <s v="Secured asymmetric projection"/>
    <n v="135600"/>
    <n v="62804"/>
    <x v="0"/>
    <n v="714"/>
    <x v="1"/>
    <s v="USD"/>
    <n v="1492491600"/>
    <n v="1492837200"/>
    <b v="0"/>
    <b v="0"/>
    <s v="music/rock"/>
    <m/>
    <x v="1"/>
    <s v="rock"/>
  </r>
  <r>
    <n v="410"/>
    <s v="Mcmillan Group"/>
    <s v="Advanced cohesive Graphic Interface"/>
    <n v="153700"/>
    <n v="55536"/>
    <x v="2"/>
    <n v="1111"/>
    <x v="1"/>
    <s v="USD"/>
    <n v="1430197200"/>
    <n v="1430197200"/>
    <b v="0"/>
    <b v="0"/>
    <s v="games/mobile games"/>
    <m/>
    <x v="6"/>
    <s v="mobile games"/>
  </r>
  <r>
    <n v="411"/>
    <s v="Beck, Thompson and Martinez"/>
    <s v="Down-sized maximized function"/>
    <n v="7800"/>
    <n v="8161"/>
    <x v="1"/>
    <n v="82"/>
    <x v="1"/>
    <s v="USD"/>
    <n v="1496034000"/>
    <n v="1496206800"/>
    <b v="0"/>
    <b v="0"/>
    <s v="theater/plays"/>
    <m/>
    <x v="3"/>
    <s v="plays"/>
  </r>
  <r>
    <n v="412"/>
    <s v="Rodriguez-Scott"/>
    <s v="Realigned zero tolerance software"/>
    <n v="2100"/>
    <n v="14046"/>
    <x v="1"/>
    <n v="134"/>
    <x v="1"/>
    <s v="USD"/>
    <n v="1388728800"/>
    <n v="1389592800"/>
    <b v="0"/>
    <b v="0"/>
    <s v="publishing/fiction"/>
    <m/>
    <x v="5"/>
    <s v="fiction"/>
  </r>
  <r>
    <n v="413"/>
    <s v="Rush-Bowers"/>
    <s v="Persevering analyzing extranet"/>
    <n v="189500"/>
    <n v="117628"/>
    <x v="2"/>
    <n v="1089"/>
    <x v="1"/>
    <s v="USD"/>
    <n v="1543298400"/>
    <n v="1545631200"/>
    <b v="0"/>
    <b v="0"/>
    <s v="film &amp; video/animation"/>
    <m/>
    <x v="4"/>
    <s v="animation"/>
  </r>
  <r>
    <n v="414"/>
    <s v="Davis and Sons"/>
    <s v="Innovative human-resource migration"/>
    <n v="188200"/>
    <n v="159405"/>
    <x v="0"/>
    <n v="5497"/>
    <x v="1"/>
    <s v="USD"/>
    <n v="1271739600"/>
    <n v="1272430800"/>
    <b v="0"/>
    <b v="1"/>
    <s v="food/food trucks"/>
    <m/>
    <x v="0"/>
    <s v="food trucks"/>
  </r>
  <r>
    <n v="415"/>
    <s v="Anderson-Pham"/>
    <s v="Intuitive needs-based monitoring"/>
    <n v="113500"/>
    <n v="12552"/>
    <x v="0"/>
    <n v="418"/>
    <x v="1"/>
    <s v="USD"/>
    <n v="1326434400"/>
    <n v="1327903200"/>
    <b v="0"/>
    <b v="0"/>
    <s v="theater/plays"/>
    <m/>
    <x v="3"/>
    <s v="plays"/>
  </r>
  <r>
    <n v="416"/>
    <s v="Stewart-Coleman"/>
    <s v="Customer-focused disintermediate toolset"/>
    <n v="134600"/>
    <n v="59007"/>
    <x v="0"/>
    <n v="1439"/>
    <x v="1"/>
    <s v="USD"/>
    <n v="1295244000"/>
    <n v="1296021600"/>
    <b v="0"/>
    <b v="1"/>
    <s v="film &amp; video/documentary"/>
    <m/>
    <x v="4"/>
    <s v="documentary"/>
  </r>
  <r>
    <n v="417"/>
    <s v="Bradshaw, Smith and Ryan"/>
    <s v="Upgradable 24/7 emulation"/>
    <n v="1700"/>
    <n v="943"/>
    <x v="0"/>
    <n v="15"/>
    <x v="1"/>
    <s v="USD"/>
    <n v="1541221200"/>
    <n v="1543298400"/>
    <b v="0"/>
    <b v="0"/>
    <s v="theater/plays"/>
    <m/>
    <x v="3"/>
    <s v="plays"/>
  </r>
  <r>
    <n v="418"/>
    <s v="Jackson PLC"/>
    <s v="Quality-focused client-server core"/>
    <n v="163700"/>
    <n v="93963"/>
    <x v="0"/>
    <n v="1999"/>
    <x v="0"/>
    <s v="CAD"/>
    <n v="1336280400"/>
    <n v="1336366800"/>
    <b v="0"/>
    <b v="0"/>
    <s v="film &amp; video/documentary"/>
    <m/>
    <x v="4"/>
    <s v="documentary"/>
  </r>
  <r>
    <n v="419"/>
    <s v="Ware-Arias"/>
    <s v="Upgradable maximized protocol"/>
    <n v="113800"/>
    <n v="140469"/>
    <x v="1"/>
    <n v="5203"/>
    <x v="1"/>
    <s v="USD"/>
    <n v="1324533600"/>
    <n v="1325052000"/>
    <b v="0"/>
    <b v="0"/>
    <s v="technology/web"/>
    <m/>
    <x v="2"/>
    <s v="web"/>
  </r>
  <r>
    <n v="420"/>
    <s v="Blair, Reyes and Woods"/>
    <s v="Cross-platform interactive synergy"/>
    <n v="5000"/>
    <n v="6423"/>
    <x v="1"/>
    <n v="94"/>
    <x v="1"/>
    <s v="USD"/>
    <n v="1498366800"/>
    <n v="1499576400"/>
    <b v="0"/>
    <b v="0"/>
    <s v="theater/plays"/>
    <m/>
    <x v="3"/>
    <s v="plays"/>
  </r>
  <r>
    <n v="421"/>
    <s v="Thomas-Lopez"/>
    <s v="User-centric fault-tolerant archive"/>
    <n v="9400"/>
    <n v="6015"/>
    <x v="0"/>
    <n v="118"/>
    <x v="1"/>
    <s v="USD"/>
    <n v="1498712400"/>
    <n v="1501304400"/>
    <b v="0"/>
    <b v="1"/>
    <s v="technology/wearables"/>
    <m/>
    <x v="2"/>
    <s v="wearables"/>
  </r>
  <r>
    <n v="422"/>
    <s v="Brown, Davies and Pacheco"/>
    <s v="Reverse-engineered regional knowledge user"/>
    <n v="8700"/>
    <n v="11075"/>
    <x v="1"/>
    <n v="205"/>
    <x v="1"/>
    <s v="USD"/>
    <n v="1271480400"/>
    <n v="1273208400"/>
    <b v="0"/>
    <b v="1"/>
    <s v="theater/plays"/>
    <m/>
    <x v="3"/>
    <s v="plays"/>
  </r>
  <r>
    <n v="423"/>
    <s v="Jones-Riddle"/>
    <s v="Self-enabling real-time definition"/>
    <n v="147800"/>
    <n v="15723"/>
    <x v="0"/>
    <n v="162"/>
    <x v="1"/>
    <s v="USD"/>
    <n v="1316667600"/>
    <n v="1316840400"/>
    <b v="0"/>
    <b v="1"/>
    <s v="food/food trucks"/>
    <m/>
    <x v="0"/>
    <s v="food trucks"/>
  </r>
  <r>
    <n v="424"/>
    <s v="Schmidt-Gomez"/>
    <s v="User-centric impactful projection"/>
    <n v="5100"/>
    <n v="2064"/>
    <x v="0"/>
    <n v="83"/>
    <x v="1"/>
    <s v="USD"/>
    <n v="1524027600"/>
    <n v="1524546000"/>
    <b v="0"/>
    <b v="0"/>
    <s v="music/indie rock"/>
    <m/>
    <x v="1"/>
    <s v="indie rock"/>
  </r>
  <r>
    <n v="425"/>
    <s v="Sullivan, Davis and Booth"/>
    <s v="Vision-oriented actuating hardware"/>
    <n v="2700"/>
    <n v="7767"/>
    <x v="1"/>
    <n v="92"/>
    <x v="1"/>
    <s v="USD"/>
    <n v="1438059600"/>
    <n v="1438578000"/>
    <b v="0"/>
    <b v="0"/>
    <s v="photography/photography books"/>
    <m/>
    <x v="7"/>
    <s v="photography books"/>
  </r>
  <r>
    <n v="426"/>
    <s v="Edwards-Kane"/>
    <s v="Virtual leadingedge framework"/>
    <n v="1800"/>
    <n v="10313"/>
    <x v="1"/>
    <n v="219"/>
    <x v="1"/>
    <s v="USD"/>
    <n v="1361944800"/>
    <n v="1362549600"/>
    <b v="0"/>
    <b v="0"/>
    <s v="theater/plays"/>
    <m/>
    <x v="3"/>
    <s v="plays"/>
  </r>
  <r>
    <n v="427"/>
    <s v="Hicks, Wall and Webb"/>
    <s v="Managed discrete framework"/>
    <n v="174500"/>
    <n v="197018"/>
    <x v="1"/>
    <n v="2526"/>
    <x v="1"/>
    <s v="USD"/>
    <n v="1410584400"/>
    <n v="1413349200"/>
    <b v="0"/>
    <b v="1"/>
    <s v="theater/plays"/>
    <m/>
    <x v="3"/>
    <s v="plays"/>
  </r>
  <r>
    <n v="428"/>
    <s v="Mayer-Richmond"/>
    <s v="Progressive zero-defect capability"/>
    <n v="101400"/>
    <n v="47037"/>
    <x v="0"/>
    <n v="747"/>
    <x v="1"/>
    <s v="USD"/>
    <n v="1297404000"/>
    <n v="1298008800"/>
    <b v="0"/>
    <b v="0"/>
    <s v="film &amp; video/animation"/>
    <m/>
    <x v="4"/>
    <s v="animation"/>
  </r>
  <r>
    <n v="429"/>
    <s v="Robles Ltd"/>
    <s v="Right-sized demand-driven adapter"/>
    <n v="191000"/>
    <n v="173191"/>
    <x v="3"/>
    <n v="2138"/>
    <x v="1"/>
    <s v="USD"/>
    <n v="1392012000"/>
    <n v="1394427600"/>
    <b v="0"/>
    <b v="1"/>
    <s v="photography/photography books"/>
    <m/>
    <x v="7"/>
    <s v="photography books"/>
  </r>
  <r>
    <n v="430"/>
    <s v="Cochran Ltd"/>
    <s v="Re-engineered attitude-oriented frame"/>
    <n v="8100"/>
    <n v="5487"/>
    <x v="0"/>
    <n v="84"/>
    <x v="1"/>
    <s v="USD"/>
    <n v="1569733200"/>
    <n v="1572670800"/>
    <b v="0"/>
    <b v="0"/>
    <s v="theater/plays"/>
    <m/>
    <x v="3"/>
    <s v="plays"/>
  </r>
  <r>
    <n v="431"/>
    <s v="Rosales LLC"/>
    <s v="Compatible multimedia utilization"/>
    <n v="5100"/>
    <n v="9817"/>
    <x v="1"/>
    <n v="94"/>
    <x v="1"/>
    <s v="USD"/>
    <n v="1529643600"/>
    <n v="1531112400"/>
    <b v="1"/>
    <b v="0"/>
    <s v="theater/plays"/>
    <m/>
    <x v="3"/>
    <s v="plays"/>
  </r>
  <r>
    <n v="432"/>
    <s v="Harper-Bryan"/>
    <s v="Re-contextualized dedicated hardware"/>
    <n v="7700"/>
    <n v="6369"/>
    <x v="0"/>
    <n v="91"/>
    <x v="1"/>
    <s v="USD"/>
    <n v="1399006800"/>
    <n v="1400734800"/>
    <b v="0"/>
    <b v="0"/>
    <s v="theater/plays"/>
    <m/>
    <x v="3"/>
    <s v="plays"/>
  </r>
  <r>
    <n v="433"/>
    <s v="Potter, Harper and Everett"/>
    <s v="Decentralized composite paradigm"/>
    <n v="121400"/>
    <n v="65755"/>
    <x v="0"/>
    <n v="792"/>
    <x v="1"/>
    <s v="USD"/>
    <n v="1385359200"/>
    <n v="1386741600"/>
    <b v="0"/>
    <b v="1"/>
    <s v="film &amp; video/documentary"/>
    <m/>
    <x v="4"/>
    <s v="documentary"/>
  </r>
  <r>
    <n v="434"/>
    <s v="Floyd-Sims"/>
    <s v="Cloned transitional hierarchy"/>
    <n v="5400"/>
    <n v="903"/>
    <x v="3"/>
    <n v="10"/>
    <x v="0"/>
    <s v="CAD"/>
    <n v="1480572000"/>
    <n v="1481781600"/>
    <b v="1"/>
    <b v="0"/>
    <s v="theater/plays"/>
    <m/>
    <x v="3"/>
    <s v="plays"/>
  </r>
  <r>
    <n v="435"/>
    <s v="Spence, Jackson and Kelly"/>
    <s v="Advanced discrete leverage"/>
    <n v="152400"/>
    <n v="178120"/>
    <x v="1"/>
    <n v="1713"/>
    <x v="6"/>
    <s v="EUR"/>
    <n v="1418623200"/>
    <n v="1419660000"/>
    <b v="0"/>
    <b v="1"/>
    <s v="theater/plays"/>
    <m/>
    <x v="3"/>
    <s v="plays"/>
  </r>
  <r>
    <n v="436"/>
    <s v="King-Nguyen"/>
    <s v="Open-source incremental throughput"/>
    <n v="1300"/>
    <n v="13678"/>
    <x v="1"/>
    <n v="249"/>
    <x v="1"/>
    <s v="USD"/>
    <n v="1555736400"/>
    <n v="1555822800"/>
    <b v="0"/>
    <b v="0"/>
    <s v="music/jazz"/>
    <m/>
    <x v="1"/>
    <s v="jazz"/>
  </r>
  <r>
    <n v="437"/>
    <s v="Hansen Group"/>
    <s v="Centralized regional interface"/>
    <n v="8100"/>
    <n v="9969"/>
    <x v="1"/>
    <n v="192"/>
    <x v="1"/>
    <s v="USD"/>
    <n v="1442120400"/>
    <n v="1442379600"/>
    <b v="0"/>
    <b v="1"/>
    <s v="film &amp; video/animation"/>
    <m/>
    <x v="4"/>
    <s v="animation"/>
  </r>
  <r>
    <n v="438"/>
    <s v="Mathis, Hall and Hansen"/>
    <s v="Streamlined web-enabled knowledgebase"/>
    <n v="8300"/>
    <n v="14827"/>
    <x v="1"/>
    <n v="247"/>
    <x v="1"/>
    <s v="USD"/>
    <n v="1362376800"/>
    <n v="1364965200"/>
    <b v="0"/>
    <b v="0"/>
    <s v="theater/plays"/>
    <m/>
    <x v="3"/>
    <s v="plays"/>
  </r>
  <r>
    <n v="439"/>
    <s v="Cummings Inc"/>
    <s v="Digitized transitional monitoring"/>
    <n v="28400"/>
    <n v="100900"/>
    <x v="1"/>
    <n v="2293"/>
    <x v="1"/>
    <s v="USD"/>
    <n v="1478408400"/>
    <n v="1479016800"/>
    <b v="0"/>
    <b v="0"/>
    <s v="film &amp; video/science fiction"/>
    <m/>
    <x v="4"/>
    <s v="science fiction"/>
  </r>
  <r>
    <n v="440"/>
    <s v="Miller-Poole"/>
    <s v="Networked optimal adapter"/>
    <n v="102500"/>
    <n v="165954"/>
    <x v="1"/>
    <n v="3131"/>
    <x v="1"/>
    <s v="USD"/>
    <n v="1498798800"/>
    <n v="1499662800"/>
    <b v="0"/>
    <b v="0"/>
    <s v="film &amp; video/television"/>
    <m/>
    <x v="4"/>
    <s v="television"/>
  </r>
  <r>
    <n v="441"/>
    <s v="Rodriguez-West"/>
    <s v="Automated optimal function"/>
    <n v="7000"/>
    <n v="1744"/>
    <x v="0"/>
    <n v="32"/>
    <x v="1"/>
    <s v="USD"/>
    <n v="1335416400"/>
    <n v="1337835600"/>
    <b v="0"/>
    <b v="0"/>
    <s v="technology/wearables"/>
    <m/>
    <x v="2"/>
    <s v="wearables"/>
  </r>
  <r>
    <n v="442"/>
    <s v="Calderon, Bradford and Dean"/>
    <s v="Devolved system-worthy framework"/>
    <n v="5400"/>
    <n v="10731"/>
    <x v="1"/>
    <n v="143"/>
    <x v="6"/>
    <s v="EUR"/>
    <n v="1504328400"/>
    <n v="1505710800"/>
    <b v="0"/>
    <b v="0"/>
    <s v="theater/plays"/>
    <m/>
    <x v="3"/>
    <s v="plays"/>
  </r>
  <r>
    <n v="443"/>
    <s v="Clark-Bowman"/>
    <s v="Stand-alone user-facing service-desk"/>
    <n v="9300"/>
    <n v="3232"/>
    <x v="3"/>
    <n v="90"/>
    <x v="1"/>
    <s v="USD"/>
    <n v="1285822800"/>
    <n v="1287464400"/>
    <b v="0"/>
    <b v="0"/>
    <s v="theater/plays"/>
    <m/>
    <x v="3"/>
    <s v="plays"/>
  </r>
  <r>
    <n v="444"/>
    <s v="Hensley Ltd"/>
    <s v="Versatile global attitude"/>
    <n v="6200"/>
    <n v="10938"/>
    <x v="1"/>
    <n v="296"/>
    <x v="1"/>
    <s v="USD"/>
    <n v="1311483600"/>
    <n v="1311656400"/>
    <b v="0"/>
    <b v="1"/>
    <s v="music/indie rock"/>
    <m/>
    <x v="1"/>
    <s v="indie rock"/>
  </r>
  <r>
    <n v="445"/>
    <s v="Anderson-Pearson"/>
    <s v="Intuitive demand-driven Local Area Network"/>
    <n v="2100"/>
    <n v="10739"/>
    <x v="1"/>
    <n v="170"/>
    <x v="1"/>
    <s v="USD"/>
    <n v="1291356000"/>
    <n v="1293170400"/>
    <b v="0"/>
    <b v="1"/>
    <s v="theater/plays"/>
    <m/>
    <x v="3"/>
    <s v="plays"/>
  </r>
  <r>
    <n v="446"/>
    <s v="Martin, Martin and Solis"/>
    <s v="Assimilated uniform methodology"/>
    <n v="6800"/>
    <n v="5579"/>
    <x v="0"/>
    <n v="186"/>
    <x v="1"/>
    <s v="USD"/>
    <n v="1355810400"/>
    <n v="1355983200"/>
    <b v="0"/>
    <b v="0"/>
    <s v="technology/wearables"/>
    <m/>
    <x v="2"/>
    <s v="wearables"/>
  </r>
  <r>
    <n v="447"/>
    <s v="Harrington-Harper"/>
    <s v="Self-enabling next generation algorithm"/>
    <n v="155200"/>
    <n v="37754"/>
    <x v="3"/>
    <n v="439"/>
    <x v="4"/>
    <s v="GBP"/>
    <n v="1513663200"/>
    <n v="1515045600"/>
    <b v="0"/>
    <b v="0"/>
    <s v="film &amp; video/television"/>
    <m/>
    <x v="4"/>
    <s v="television"/>
  </r>
  <r>
    <n v="448"/>
    <s v="Price and Sons"/>
    <s v="Object-based demand-driven strategy"/>
    <n v="89900"/>
    <n v="45384"/>
    <x v="0"/>
    <n v="605"/>
    <x v="1"/>
    <s v="USD"/>
    <n v="1365915600"/>
    <n v="1366088400"/>
    <b v="0"/>
    <b v="1"/>
    <s v="games/video games"/>
    <m/>
    <x v="6"/>
    <s v="video games"/>
  </r>
  <r>
    <n v="449"/>
    <s v="Cuevas-Morales"/>
    <s v="Public-key coherent ability"/>
    <n v="900"/>
    <n v="8703"/>
    <x v="1"/>
    <n v="86"/>
    <x v="3"/>
    <s v="DKK"/>
    <n v="1551852000"/>
    <n v="1553317200"/>
    <b v="0"/>
    <b v="0"/>
    <s v="games/video games"/>
    <m/>
    <x v="6"/>
    <s v="video games"/>
  </r>
  <r>
    <n v="450"/>
    <s v="Delgado-Hatfield"/>
    <s v="Up-sized composite success"/>
    <n v="100"/>
    <n v="4"/>
    <x v="0"/>
    <n v="1"/>
    <x v="0"/>
    <s v="CAD"/>
    <n v="1540098000"/>
    <n v="1542088800"/>
    <b v="0"/>
    <b v="0"/>
    <s v="film &amp; video/animation"/>
    <m/>
    <x v="4"/>
    <s v="animation"/>
  </r>
  <r>
    <n v="451"/>
    <s v="Padilla-Porter"/>
    <s v="Innovative exuding matrix"/>
    <n v="148400"/>
    <n v="182302"/>
    <x v="1"/>
    <n v="6286"/>
    <x v="1"/>
    <s v="USD"/>
    <n v="1500440400"/>
    <n v="1503118800"/>
    <b v="0"/>
    <b v="0"/>
    <s v="music/rock"/>
    <m/>
    <x v="1"/>
    <s v="rock"/>
  </r>
  <r>
    <n v="452"/>
    <s v="Morris Group"/>
    <s v="Realigned impactful artificial intelligence"/>
    <n v="4800"/>
    <n v="3045"/>
    <x v="0"/>
    <n v="31"/>
    <x v="1"/>
    <s v="USD"/>
    <n v="1278392400"/>
    <n v="1278478800"/>
    <b v="0"/>
    <b v="0"/>
    <s v="film &amp; video/drama"/>
    <m/>
    <x v="4"/>
    <s v="drama"/>
  </r>
  <r>
    <n v="453"/>
    <s v="Saunders Ltd"/>
    <s v="Multi-layered multi-tasking secured line"/>
    <n v="182400"/>
    <n v="102749"/>
    <x v="0"/>
    <n v="1181"/>
    <x v="1"/>
    <s v="USD"/>
    <n v="1480572000"/>
    <n v="1484114400"/>
    <b v="0"/>
    <b v="0"/>
    <s v="film &amp; video/science fiction"/>
    <m/>
    <x v="4"/>
    <s v="science fiction"/>
  </r>
  <r>
    <n v="454"/>
    <s v="Woods Inc"/>
    <s v="Upgradable upward-trending portal"/>
    <n v="4000"/>
    <n v="1763"/>
    <x v="0"/>
    <n v="39"/>
    <x v="1"/>
    <s v="USD"/>
    <n v="1382331600"/>
    <n v="1385445600"/>
    <b v="0"/>
    <b v="1"/>
    <s v="film &amp; video/drama"/>
    <m/>
    <x v="4"/>
    <s v="drama"/>
  </r>
  <r>
    <n v="455"/>
    <s v="Villanueva, Wright and Richardson"/>
    <s v="Profit-focused global product"/>
    <n v="116500"/>
    <n v="137904"/>
    <x v="1"/>
    <n v="3727"/>
    <x v="1"/>
    <s v="USD"/>
    <n v="1316754000"/>
    <n v="1318741200"/>
    <b v="0"/>
    <b v="0"/>
    <s v="theater/plays"/>
    <m/>
    <x v="3"/>
    <s v="plays"/>
  </r>
  <r>
    <n v="456"/>
    <s v="Wilson, Brooks and Clark"/>
    <s v="Operative well-modulated data-warehouse"/>
    <n v="146400"/>
    <n v="152438"/>
    <x v="1"/>
    <n v="1605"/>
    <x v="1"/>
    <s v="USD"/>
    <n v="1518242400"/>
    <n v="1518242400"/>
    <b v="0"/>
    <b v="1"/>
    <s v="music/indie rock"/>
    <m/>
    <x v="1"/>
    <s v="indie rock"/>
  </r>
  <r>
    <n v="457"/>
    <s v="Sheppard, Smith and Spence"/>
    <s v="Cloned asymmetric functionalities"/>
    <n v="5000"/>
    <n v="1332"/>
    <x v="0"/>
    <n v="46"/>
    <x v="1"/>
    <s v="USD"/>
    <n v="1476421200"/>
    <n v="1476594000"/>
    <b v="0"/>
    <b v="0"/>
    <s v="theater/plays"/>
    <m/>
    <x v="3"/>
    <s v="plays"/>
  </r>
  <r>
    <n v="458"/>
    <s v="Wise, Thompson and Allen"/>
    <s v="Pre-emptive neutral portal"/>
    <n v="33800"/>
    <n v="118706"/>
    <x v="1"/>
    <n v="2120"/>
    <x v="1"/>
    <s v="USD"/>
    <n v="1269752400"/>
    <n v="1273554000"/>
    <b v="0"/>
    <b v="0"/>
    <s v="theater/plays"/>
    <m/>
    <x v="3"/>
    <s v="plays"/>
  </r>
  <r>
    <n v="459"/>
    <s v="Lane, Ryan and Chapman"/>
    <s v="Switchable demand-driven help-desk"/>
    <n v="6300"/>
    <n v="5674"/>
    <x v="0"/>
    <n v="105"/>
    <x v="1"/>
    <s v="USD"/>
    <n v="1419746400"/>
    <n v="1421906400"/>
    <b v="0"/>
    <b v="0"/>
    <s v="film &amp; video/documentary"/>
    <m/>
    <x v="4"/>
    <s v="documentary"/>
  </r>
  <r>
    <n v="460"/>
    <s v="Rich, Alvarez and King"/>
    <s v="Business-focused static ability"/>
    <n v="2400"/>
    <n v="4119"/>
    <x v="1"/>
    <n v="50"/>
    <x v="1"/>
    <s v="USD"/>
    <n v="1281330000"/>
    <n v="1281589200"/>
    <b v="0"/>
    <b v="0"/>
    <s v="theater/plays"/>
    <m/>
    <x v="3"/>
    <s v="plays"/>
  </r>
  <r>
    <n v="461"/>
    <s v="Terry-Salinas"/>
    <s v="Networked secondary structure"/>
    <n v="98800"/>
    <n v="139354"/>
    <x v="1"/>
    <n v="2080"/>
    <x v="1"/>
    <s v="USD"/>
    <n v="1398661200"/>
    <n v="1400389200"/>
    <b v="0"/>
    <b v="0"/>
    <s v="film &amp; video/drama"/>
    <m/>
    <x v="4"/>
    <s v="drama"/>
  </r>
  <r>
    <n v="462"/>
    <s v="Wang-Rodriguez"/>
    <s v="Total multimedia website"/>
    <n v="188800"/>
    <n v="57734"/>
    <x v="0"/>
    <n v="535"/>
    <x v="1"/>
    <s v="USD"/>
    <n v="1359525600"/>
    <n v="1362808800"/>
    <b v="0"/>
    <b v="0"/>
    <s v="games/mobile games"/>
    <m/>
    <x v="6"/>
    <s v="mobile games"/>
  </r>
  <r>
    <n v="463"/>
    <s v="Mckee-Hill"/>
    <s v="Cross-platform upward-trending parallelism"/>
    <n v="134300"/>
    <n v="145265"/>
    <x v="1"/>
    <n v="2105"/>
    <x v="1"/>
    <s v="USD"/>
    <n v="1388469600"/>
    <n v="1388815200"/>
    <b v="0"/>
    <b v="0"/>
    <s v="film &amp; video/animation"/>
    <m/>
    <x v="4"/>
    <s v="animation"/>
  </r>
  <r>
    <n v="464"/>
    <s v="Gomez LLC"/>
    <s v="Pre-emptive mission-critical hardware"/>
    <n v="71200"/>
    <n v="95020"/>
    <x v="1"/>
    <n v="2436"/>
    <x v="1"/>
    <s v="USD"/>
    <n v="1518328800"/>
    <n v="1519538400"/>
    <b v="0"/>
    <b v="0"/>
    <s v="theater/plays"/>
    <m/>
    <x v="3"/>
    <s v="plays"/>
  </r>
  <r>
    <n v="465"/>
    <s v="Gonzalez-Robbins"/>
    <s v="Up-sized responsive protocol"/>
    <n v="4700"/>
    <n v="8829"/>
    <x v="1"/>
    <n v="80"/>
    <x v="1"/>
    <s v="USD"/>
    <n v="1517032800"/>
    <n v="1517810400"/>
    <b v="0"/>
    <b v="0"/>
    <s v="publishing/translations"/>
    <m/>
    <x v="5"/>
    <s v="translations"/>
  </r>
  <r>
    <n v="466"/>
    <s v="Obrien and Sons"/>
    <s v="Pre-emptive transitional frame"/>
    <n v="1200"/>
    <n v="3984"/>
    <x v="1"/>
    <n v="42"/>
    <x v="1"/>
    <s v="USD"/>
    <n v="1368594000"/>
    <n v="1370581200"/>
    <b v="0"/>
    <b v="1"/>
    <s v="technology/wearables"/>
    <m/>
    <x v="2"/>
    <s v="wearables"/>
  </r>
  <r>
    <n v="467"/>
    <s v="Shaw Ltd"/>
    <s v="Profit-focused content-based application"/>
    <n v="1400"/>
    <n v="8053"/>
    <x v="1"/>
    <n v="139"/>
    <x v="0"/>
    <s v="CAD"/>
    <n v="1448258400"/>
    <n v="1448863200"/>
    <b v="0"/>
    <b v="1"/>
    <s v="technology/web"/>
    <m/>
    <x v="2"/>
    <s v="web"/>
  </r>
  <r>
    <n v="468"/>
    <s v="Hughes Inc"/>
    <s v="Streamlined neutral analyzer"/>
    <n v="4000"/>
    <n v="1620"/>
    <x v="0"/>
    <n v="16"/>
    <x v="1"/>
    <s v="USD"/>
    <n v="1555218000"/>
    <n v="1556600400"/>
    <b v="0"/>
    <b v="0"/>
    <s v="theater/plays"/>
    <m/>
    <x v="3"/>
    <s v="plays"/>
  </r>
  <r>
    <n v="469"/>
    <s v="Olsen-Ryan"/>
    <s v="Assimilated neutral utilization"/>
    <n v="5600"/>
    <n v="10328"/>
    <x v="1"/>
    <n v="159"/>
    <x v="1"/>
    <s v="USD"/>
    <n v="1431925200"/>
    <n v="1432098000"/>
    <b v="0"/>
    <b v="0"/>
    <s v="film &amp; video/drama"/>
    <m/>
    <x v="4"/>
    <s v="drama"/>
  </r>
  <r>
    <n v="470"/>
    <s v="Grimes, Holland and Sloan"/>
    <s v="Extended dedicated archive"/>
    <n v="3600"/>
    <n v="10289"/>
    <x v="1"/>
    <n v="381"/>
    <x v="1"/>
    <s v="USD"/>
    <n v="1481522400"/>
    <n v="1482127200"/>
    <b v="0"/>
    <b v="0"/>
    <s v="technology/wearables"/>
    <m/>
    <x v="2"/>
    <s v="wearables"/>
  </r>
  <r>
    <n v="471"/>
    <s v="Perry and Sons"/>
    <s v="Configurable static help-desk"/>
    <n v="3100"/>
    <n v="9889"/>
    <x v="1"/>
    <n v="194"/>
    <x v="4"/>
    <s v="GBP"/>
    <n v="1335934800"/>
    <n v="1335934800"/>
    <b v="0"/>
    <b v="1"/>
    <s v="food/food trucks"/>
    <m/>
    <x v="0"/>
    <s v="food trucks"/>
  </r>
  <r>
    <n v="472"/>
    <s v="Turner, Young and Collins"/>
    <s v="Self-enabling clear-thinking framework"/>
    <n v="153800"/>
    <n v="60342"/>
    <x v="0"/>
    <n v="575"/>
    <x v="1"/>
    <s v="USD"/>
    <n v="1552280400"/>
    <n v="1556946000"/>
    <b v="0"/>
    <b v="0"/>
    <s v="music/rock"/>
    <m/>
    <x v="1"/>
    <s v="rock"/>
  </r>
  <r>
    <n v="473"/>
    <s v="Richardson Inc"/>
    <s v="Assimilated fault-tolerant capacity"/>
    <n v="5000"/>
    <n v="8907"/>
    <x v="1"/>
    <n v="106"/>
    <x v="1"/>
    <s v="USD"/>
    <n v="1529989200"/>
    <n v="1530075600"/>
    <b v="0"/>
    <b v="0"/>
    <s v="music/electric music"/>
    <m/>
    <x v="1"/>
    <s v="electric music"/>
  </r>
  <r>
    <n v="474"/>
    <s v="Santos-Young"/>
    <s v="Enhanced neutral ability"/>
    <n v="4000"/>
    <n v="14606"/>
    <x v="1"/>
    <n v="142"/>
    <x v="1"/>
    <s v="USD"/>
    <n v="1418709600"/>
    <n v="1418796000"/>
    <b v="0"/>
    <b v="0"/>
    <s v="film &amp; video/television"/>
    <m/>
    <x v="4"/>
    <s v="television"/>
  </r>
  <r>
    <n v="475"/>
    <s v="Nichols Ltd"/>
    <s v="Function-based attitude-oriented groupware"/>
    <n v="7400"/>
    <n v="8432"/>
    <x v="1"/>
    <n v="211"/>
    <x v="1"/>
    <s v="USD"/>
    <n v="1372136400"/>
    <n v="1372482000"/>
    <b v="0"/>
    <b v="1"/>
    <s v="publishing/translations"/>
    <m/>
    <x v="5"/>
    <s v="translations"/>
  </r>
  <r>
    <n v="476"/>
    <s v="Murphy PLC"/>
    <s v="Optional solution-oriented instruction set"/>
    <n v="191500"/>
    <n v="57122"/>
    <x v="0"/>
    <n v="1120"/>
    <x v="1"/>
    <s v="USD"/>
    <n v="1533877200"/>
    <n v="1534395600"/>
    <b v="0"/>
    <b v="0"/>
    <s v="publishing/fiction"/>
    <m/>
    <x v="5"/>
    <s v="fiction"/>
  </r>
  <r>
    <n v="477"/>
    <s v="Hogan, Porter and Rivera"/>
    <s v="Organic object-oriented core"/>
    <n v="8500"/>
    <n v="4613"/>
    <x v="0"/>
    <n v="113"/>
    <x v="1"/>
    <s v="USD"/>
    <n v="1309064400"/>
    <n v="1311397200"/>
    <b v="0"/>
    <b v="0"/>
    <s v="film &amp; video/science fiction"/>
    <m/>
    <x v="4"/>
    <s v="science fiction"/>
  </r>
  <r>
    <n v="478"/>
    <s v="Lyons LLC"/>
    <s v="Balanced impactful circuit"/>
    <n v="68800"/>
    <n v="162603"/>
    <x v="1"/>
    <n v="2756"/>
    <x v="1"/>
    <s v="USD"/>
    <n v="1425877200"/>
    <n v="1426914000"/>
    <b v="0"/>
    <b v="0"/>
    <s v="technology/wearables"/>
    <m/>
    <x v="2"/>
    <s v="wearables"/>
  </r>
  <r>
    <n v="479"/>
    <s v="Long-Greene"/>
    <s v="Future-proofed heuristic encryption"/>
    <n v="2400"/>
    <n v="12310"/>
    <x v="1"/>
    <n v="173"/>
    <x v="4"/>
    <s v="GBP"/>
    <n v="1501304400"/>
    <n v="1501477200"/>
    <b v="0"/>
    <b v="0"/>
    <s v="food/food trucks"/>
    <m/>
    <x v="0"/>
    <s v="food trucks"/>
  </r>
  <r>
    <n v="480"/>
    <s v="Robles-Hudson"/>
    <s v="Balanced bifurcated leverage"/>
    <n v="8600"/>
    <n v="8656"/>
    <x v="1"/>
    <n v="87"/>
    <x v="1"/>
    <s v="USD"/>
    <n v="1268287200"/>
    <n v="1269061200"/>
    <b v="0"/>
    <b v="1"/>
    <s v="photography/photography books"/>
    <m/>
    <x v="7"/>
    <s v="photography books"/>
  </r>
  <r>
    <n v="481"/>
    <s v="Mcclure LLC"/>
    <s v="Sharable discrete budgetary management"/>
    <n v="196600"/>
    <n v="159931"/>
    <x v="0"/>
    <n v="1538"/>
    <x v="1"/>
    <s v="USD"/>
    <n v="1412139600"/>
    <n v="1415772000"/>
    <b v="0"/>
    <b v="1"/>
    <s v="theater/plays"/>
    <m/>
    <x v="3"/>
    <s v="plays"/>
  </r>
  <r>
    <n v="482"/>
    <s v="Martin, Russell and Baker"/>
    <s v="Focused solution-oriented instruction set"/>
    <n v="4200"/>
    <n v="689"/>
    <x v="0"/>
    <n v="9"/>
    <x v="1"/>
    <s v="USD"/>
    <n v="1330063200"/>
    <n v="1331013600"/>
    <b v="0"/>
    <b v="1"/>
    <s v="publishing/fiction"/>
    <m/>
    <x v="5"/>
    <s v="fiction"/>
  </r>
  <r>
    <n v="483"/>
    <s v="Rice-Parker"/>
    <s v="Down-sized actuating infrastructure"/>
    <n v="91400"/>
    <n v="48236"/>
    <x v="0"/>
    <n v="554"/>
    <x v="1"/>
    <s v="USD"/>
    <n v="1576130400"/>
    <n v="1576735200"/>
    <b v="0"/>
    <b v="0"/>
    <s v="theater/plays"/>
    <m/>
    <x v="3"/>
    <s v="plays"/>
  </r>
  <r>
    <n v="484"/>
    <s v="Landry Inc"/>
    <s v="Synergistic cohesive adapter"/>
    <n v="29600"/>
    <n v="77021"/>
    <x v="1"/>
    <n v="1572"/>
    <x v="4"/>
    <s v="GBP"/>
    <n v="1407128400"/>
    <n v="1411362000"/>
    <b v="0"/>
    <b v="1"/>
    <s v="food/food trucks"/>
    <m/>
    <x v="0"/>
    <s v="food trucks"/>
  </r>
  <r>
    <n v="485"/>
    <s v="Richards-Davis"/>
    <s v="Quality-focused mission-critical structure"/>
    <n v="90600"/>
    <n v="27844"/>
    <x v="0"/>
    <n v="648"/>
    <x v="4"/>
    <s v="GBP"/>
    <n v="1560142800"/>
    <n v="1563685200"/>
    <b v="0"/>
    <b v="0"/>
    <s v="theater/plays"/>
    <m/>
    <x v="3"/>
    <s v="plays"/>
  </r>
  <r>
    <n v="486"/>
    <s v="Davis, Cox and Fox"/>
    <s v="Compatible exuding Graphical User Interface"/>
    <n v="5200"/>
    <n v="702"/>
    <x v="0"/>
    <n v="21"/>
    <x v="4"/>
    <s v="GBP"/>
    <n v="1520575200"/>
    <n v="1521867600"/>
    <b v="0"/>
    <b v="1"/>
    <s v="publishing/translations"/>
    <m/>
    <x v="5"/>
    <s v="translations"/>
  </r>
  <r>
    <n v="487"/>
    <s v="Smith-Wallace"/>
    <s v="Monitored 24/7 time-frame"/>
    <n v="110300"/>
    <n v="197024"/>
    <x v="1"/>
    <n v="2346"/>
    <x v="1"/>
    <s v="USD"/>
    <n v="1492664400"/>
    <n v="1495515600"/>
    <b v="0"/>
    <b v="0"/>
    <s v="theater/plays"/>
    <m/>
    <x v="3"/>
    <s v="plays"/>
  </r>
  <r>
    <n v="488"/>
    <s v="Cordova, Shaw and Wang"/>
    <s v="Virtual secondary open architecture"/>
    <n v="5300"/>
    <n v="11663"/>
    <x v="1"/>
    <n v="115"/>
    <x v="1"/>
    <s v="USD"/>
    <n v="1454479200"/>
    <n v="1455948000"/>
    <b v="0"/>
    <b v="0"/>
    <s v="theater/plays"/>
    <m/>
    <x v="3"/>
    <s v="plays"/>
  </r>
  <r>
    <n v="489"/>
    <s v="Clark Inc"/>
    <s v="Down-sized mobile time-frame"/>
    <n v="9200"/>
    <n v="9339"/>
    <x v="1"/>
    <n v="85"/>
    <x v="6"/>
    <s v="EUR"/>
    <n v="1281934800"/>
    <n v="1282366800"/>
    <b v="0"/>
    <b v="0"/>
    <s v="technology/wearables"/>
    <m/>
    <x v="2"/>
    <s v="wearables"/>
  </r>
  <r>
    <n v="490"/>
    <s v="Young and Sons"/>
    <s v="Innovative disintermediate encryption"/>
    <n v="2400"/>
    <n v="4596"/>
    <x v="1"/>
    <n v="144"/>
    <x v="1"/>
    <s v="USD"/>
    <n v="1573970400"/>
    <n v="1574575200"/>
    <b v="0"/>
    <b v="0"/>
    <s v="journalism/audio"/>
    <m/>
    <x v="8"/>
    <s v="audio"/>
  </r>
  <r>
    <n v="491"/>
    <s v="Henson PLC"/>
    <s v="Universal contextually-based knowledgebase"/>
    <n v="56800"/>
    <n v="173437"/>
    <x v="1"/>
    <n v="2443"/>
    <x v="1"/>
    <s v="USD"/>
    <n v="1372654800"/>
    <n v="1374901200"/>
    <b v="0"/>
    <b v="1"/>
    <s v="food/food trucks"/>
    <m/>
    <x v="0"/>
    <s v="food trucks"/>
  </r>
  <r>
    <n v="492"/>
    <s v="Garcia Group"/>
    <s v="Persevering interactive matrix"/>
    <n v="191000"/>
    <n v="45831"/>
    <x v="3"/>
    <n v="595"/>
    <x v="1"/>
    <s v="USD"/>
    <n v="1275886800"/>
    <n v="1278910800"/>
    <b v="1"/>
    <b v="1"/>
    <s v="film &amp; video/shorts"/>
    <m/>
    <x v="4"/>
    <s v="shorts"/>
  </r>
  <r>
    <n v="493"/>
    <s v="Adams, Walker and Wong"/>
    <s v="Seamless background framework"/>
    <n v="900"/>
    <n v="6514"/>
    <x v="1"/>
    <n v="64"/>
    <x v="1"/>
    <s v="USD"/>
    <n v="1561784400"/>
    <n v="1562907600"/>
    <b v="0"/>
    <b v="0"/>
    <s v="photography/photography books"/>
    <m/>
    <x v="7"/>
    <s v="photography books"/>
  </r>
  <r>
    <n v="494"/>
    <s v="Hopkins-Browning"/>
    <s v="Balanced upward-trending productivity"/>
    <n v="2500"/>
    <n v="13684"/>
    <x v="1"/>
    <n v="268"/>
    <x v="1"/>
    <s v="USD"/>
    <n v="1332392400"/>
    <n v="1332478800"/>
    <b v="0"/>
    <b v="0"/>
    <s v="technology/wearables"/>
    <m/>
    <x v="2"/>
    <s v="wearables"/>
  </r>
  <r>
    <n v="495"/>
    <s v="Bell, Edwards and Andersen"/>
    <s v="Centralized clear-thinking solution"/>
    <n v="3200"/>
    <n v="13264"/>
    <x v="1"/>
    <n v="195"/>
    <x v="3"/>
    <s v="DKK"/>
    <n v="1402376400"/>
    <n v="1402722000"/>
    <b v="0"/>
    <b v="0"/>
    <s v="theater/plays"/>
    <m/>
    <x v="3"/>
    <s v="plays"/>
  </r>
  <r>
    <n v="496"/>
    <s v="Morales Group"/>
    <s v="Optimized bi-directional extranet"/>
    <n v="183800"/>
    <n v="1667"/>
    <x v="0"/>
    <n v="54"/>
    <x v="1"/>
    <s v="USD"/>
    <n v="1495342800"/>
    <n v="1496811600"/>
    <b v="0"/>
    <b v="0"/>
    <s v="film &amp; video/animation"/>
    <m/>
    <x v="4"/>
    <s v="animation"/>
  </r>
  <r>
    <n v="497"/>
    <s v="Lucero Group"/>
    <s v="Intuitive actuating benchmark"/>
    <n v="9800"/>
    <n v="3349"/>
    <x v="0"/>
    <n v="120"/>
    <x v="1"/>
    <s v="USD"/>
    <n v="1482213600"/>
    <n v="1482213600"/>
    <b v="0"/>
    <b v="1"/>
    <s v="technology/wearables"/>
    <m/>
    <x v="2"/>
    <s v="wearables"/>
  </r>
  <r>
    <n v="498"/>
    <s v="Smith, Brown and Davis"/>
    <s v="Devolved background project"/>
    <n v="193400"/>
    <n v="46317"/>
    <x v="0"/>
    <n v="579"/>
    <x v="3"/>
    <s v="DKK"/>
    <n v="1420092000"/>
    <n v="1420264800"/>
    <b v="0"/>
    <b v="0"/>
    <s v="technology/web"/>
    <m/>
    <x v="2"/>
    <s v="web"/>
  </r>
  <r>
    <n v="499"/>
    <s v="Hunt Group"/>
    <s v="Reverse-engineered executive emulation"/>
    <n v="163800"/>
    <n v="78743"/>
    <x v="0"/>
    <n v="2072"/>
    <x v="1"/>
    <s v="USD"/>
    <n v="1458018000"/>
    <n v="1458450000"/>
    <b v="0"/>
    <b v="1"/>
    <s v="film &amp; video/documentary"/>
    <m/>
    <x v="4"/>
    <s v="documentary"/>
  </r>
  <r>
    <n v="500"/>
    <s v="Valdez Ltd"/>
    <s v="Team-oriented clear-thinking matrix"/>
    <n v="100"/>
    <n v="0"/>
    <x v="0"/>
    <n v="0"/>
    <x v="1"/>
    <s v="USD"/>
    <n v="1367384400"/>
    <n v="1369803600"/>
    <b v="0"/>
    <b v="1"/>
    <s v="theater/plays"/>
    <m/>
    <x v="3"/>
    <s v="plays"/>
  </r>
  <r>
    <n v="501"/>
    <s v="Mccann-Le"/>
    <s v="Focused coherent methodology"/>
    <n v="153600"/>
    <n v="107743"/>
    <x v="0"/>
    <n v="1796"/>
    <x v="1"/>
    <s v="USD"/>
    <n v="1363064400"/>
    <n v="1363237200"/>
    <b v="0"/>
    <b v="0"/>
    <s v="film &amp; video/documentary"/>
    <m/>
    <x v="4"/>
    <s v="documentary"/>
  </r>
  <r>
    <n v="502"/>
    <s v="Johnson Inc"/>
    <s v="Reduced context-sensitive complexity"/>
    <n v="1300"/>
    <n v="6889"/>
    <x v="1"/>
    <n v="186"/>
    <x v="2"/>
    <s v="AUD"/>
    <n v="1343365200"/>
    <n v="1345870800"/>
    <b v="0"/>
    <b v="1"/>
    <s v="games/video games"/>
    <m/>
    <x v="6"/>
    <s v="video games"/>
  </r>
  <r>
    <n v="503"/>
    <s v="Collins LLC"/>
    <s v="Decentralized 4thgeneration time-frame"/>
    <n v="25500"/>
    <n v="45983"/>
    <x v="1"/>
    <n v="460"/>
    <x v="1"/>
    <s v="USD"/>
    <n v="1435726800"/>
    <n v="1437454800"/>
    <b v="0"/>
    <b v="0"/>
    <s v="film &amp; video/drama"/>
    <m/>
    <x v="4"/>
    <s v="drama"/>
  </r>
  <r>
    <n v="504"/>
    <s v="Smith-Miller"/>
    <s v="De-engineered cohesive moderator"/>
    <n v="7500"/>
    <n v="6924"/>
    <x v="0"/>
    <n v="62"/>
    <x v="6"/>
    <s v="EUR"/>
    <n v="1431925200"/>
    <n v="1432011600"/>
    <b v="0"/>
    <b v="0"/>
    <s v="music/rock"/>
    <m/>
    <x v="1"/>
    <s v="rock"/>
  </r>
  <r>
    <n v="505"/>
    <s v="Jensen-Vargas"/>
    <s v="Ameliorated explicit parallelism"/>
    <n v="89900"/>
    <n v="12497"/>
    <x v="0"/>
    <n v="347"/>
    <x v="1"/>
    <s v="USD"/>
    <n v="1362722400"/>
    <n v="1366347600"/>
    <b v="0"/>
    <b v="1"/>
    <s v="publishing/radio &amp; podcasts"/>
    <m/>
    <x v="5"/>
    <s v="radio &amp; podcasts"/>
  </r>
  <r>
    <n v="506"/>
    <s v="Robles, Bell and Gonzalez"/>
    <s v="Customizable background monitoring"/>
    <n v="18000"/>
    <n v="166874"/>
    <x v="1"/>
    <n v="2528"/>
    <x v="1"/>
    <s v="USD"/>
    <n v="1511416800"/>
    <n v="1512885600"/>
    <b v="0"/>
    <b v="1"/>
    <s v="theater/plays"/>
    <m/>
    <x v="3"/>
    <s v="plays"/>
  </r>
  <r>
    <n v="507"/>
    <s v="Turner, Miller and Francis"/>
    <s v="Compatible well-modulated budgetary management"/>
    <n v="2100"/>
    <n v="837"/>
    <x v="0"/>
    <n v="19"/>
    <x v="1"/>
    <s v="USD"/>
    <n v="1365483600"/>
    <n v="1369717200"/>
    <b v="0"/>
    <b v="1"/>
    <s v="technology/web"/>
    <m/>
    <x v="2"/>
    <s v="web"/>
  </r>
  <r>
    <n v="508"/>
    <s v="Roberts Group"/>
    <s v="Up-sized radical pricing structure"/>
    <n v="172700"/>
    <n v="193820"/>
    <x v="1"/>
    <n v="3657"/>
    <x v="1"/>
    <s v="USD"/>
    <n v="1532840400"/>
    <n v="1534654800"/>
    <b v="0"/>
    <b v="0"/>
    <s v="theater/plays"/>
    <m/>
    <x v="3"/>
    <s v="plays"/>
  </r>
  <r>
    <n v="509"/>
    <s v="White LLC"/>
    <s v="Robust zero-defect project"/>
    <n v="168500"/>
    <n v="119510"/>
    <x v="0"/>
    <n v="1258"/>
    <x v="1"/>
    <s v="USD"/>
    <n v="1336194000"/>
    <n v="1337058000"/>
    <b v="0"/>
    <b v="0"/>
    <s v="theater/plays"/>
    <m/>
    <x v="3"/>
    <s v="plays"/>
  </r>
  <r>
    <n v="510"/>
    <s v="Best, Miller and Thomas"/>
    <s v="Re-engineered mobile task-force"/>
    <n v="7800"/>
    <n v="9289"/>
    <x v="1"/>
    <n v="131"/>
    <x v="2"/>
    <s v="AUD"/>
    <n v="1527742800"/>
    <n v="1529816400"/>
    <b v="0"/>
    <b v="0"/>
    <s v="film &amp; video/drama"/>
    <m/>
    <x v="4"/>
    <s v="drama"/>
  </r>
  <r>
    <n v="511"/>
    <s v="Smith-Mullins"/>
    <s v="User-centric intangible neural-net"/>
    <n v="147800"/>
    <n v="35498"/>
    <x v="0"/>
    <n v="362"/>
    <x v="1"/>
    <s v="USD"/>
    <n v="1564030800"/>
    <n v="1564894800"/>
    <b v="0"/>
    <b v="0"/>
    <s v="theater/plays"/>
    <m/>
    <x v="3"/>
    <s v="plays"/>
  </r>
  <r>
    <n v="512"/>
    <s v="Williams-Walsh"/>
    <s v="Organized explicit core"/>
    <n v="9100"/>
    <n v="12678"/>
    <x v="1"/>
    <n v="239"/>
    <x v="1"/>
    <s v="USD"/>
    <n v="1404536400"/>
    <n v="1404622800"/>
    <b v="0"/>
    <b v="1"/>
    <s v="games/video games"/>
    <m/>
    <x v="6"/>
    <s v="video games"/>
  </r>
  <r>
    <n v="513"/>
    <s v="Harrison, Blackwell and Mendez"/>
    <s v="Synchronized 6thgeneration adapter"/>
    <n v="8300"/>
    <n v="3260"/>
    <x v="3"/>
    <n v="35"/>
    <x v="1"/>
    <s v="USD"/>
    <n v="1284008400"/>
    <n v="1284181200"/>
    <b v="0"/>
    <b v="0"/>
    <s v="film &amp; video/television"/>
    <m/>
    <x v="4"/>
    <s v="television"/>
  </r>
  <r>
    <n v="514"/>
    <s v="Sanchez, Bradley and Flores"/>
    <s v="Centralized motivating capacity"/>
    <n v="138700"/>
    <n v="31123"/>
    <x v="3"/>
    <n v="528"/>
    <x v="5"/>
    <s v="CHF"/>
    <n v="1386309600"/>
    <n v="1386741600"/>
    <b v="0"/>
    <b v="1"/>
    <s v="music/rock"/>
    <m/>
    <x v="1"/>
    <s v="rock"/>
  </r>
  <r>
    <n v="515"/>
    <s v="Cox LLC"/>
    <s v="Phased 24hour flexibility"/>
    <n v="8600"/>
    <n v="4797"/>
    <x v="0"/>
    <n v="133"/>
    <x v="0"/>
    <s v="CAD"/>
    <n v="1324620000"/>
    <n v="1324792800"/>
    <b v="0"/>
    <b v="1"/>
    <s v="theater/plays"/>
    <m/>
    <x v="3"/>
    <s v="plays"/>
  </r>
  <r>
    <n v="516"/>
    <s v="Morales-Odonnell"/>
    <s v="Exclusive 5thgeneration structure"/>
    <n v="125400"/>
    <n v="53324"/>
    <x v="0"/>
    <n v="846"/>
    <x v="1"/>
    <s v="USD"/>
    <n v="1281070800"/>
    <n v="1284354000"/>
    <b v="0"/>
    <b v="0"/>
    <s v="publishing/nonfiction"/>
    <m/>
    <x v="5"/>
    <s v="nonfiction"/>
  </r>
  <r>
    <n v="517"/>
    <s v="Ramirez LLC"/>
    <s v="Multi-tiered maximized orchestration"/>
    <n v="5900"/>
    <n v="6608"/>
    <x v="1"/>
    <n v="78"/>
    <x v="1"/>
    <s v="USD"/>
    <n v="1493960400"/>
    <n v="1494392400"/>
    <b v="0"/>
    <b v="0"/>
    <s v="food/food trucks"/>
    <m/>
    <x v="0"/>
    <s v="food trucks"/>
  </r>
  <r>
    <n v="518"/>
    <s v="Ramirez Group"/>
    <s v="Open-architected uniform instruction set"/>
    <n v="8800"/>
    <n v="622"/>
    <x v="0"/>
    <n v="10"/>
    <x v="1"/>
    <s v="USD"/>
    <n v="1519365600"/>
    <n v="1519538400"/>
    <b v="0"/>
    <b v="1"/>
    <s v="film &amp; video/animation"/>
    <m/>
    <x v="4"/>
    <s v="animation"/>
  </r>
  <r>
    <n v="519"/>
    <s v="Marsh-Coleman"/>
    <s v="Exclusive asymmetric analyzer"/>
    <n v="177700"/>
    <n v="180802"/>
    <x v="1"/>
    <n v="1773"/>
    <x v="1"/>
    <s v="USD"/>
    <n v="1420696800"/>
    <n v="1421906400"/>
    <b v="0"/>
    <b v="1"/>
    <s v="music/rock"/>
    <m/>
    <x v="1"/>
    <s v="rock"/>
  </r>
  <r>
    <n v="520"/>
    <s v="Frederick, Jenkins and Collins"/>
    <s v="Organic radical collaboration"/>
    <n v="800"/>
    <n v="3406"/>
    <x v="1"/>
    <n v="32"/>
    <x v="1"/>
    <s v="USD"/>
    <n v="1555650000"/>
    <n v="1555909200"/>
    <b v="0"/>
    <b v="0"/>
    <s v="theater/plays"/>
    <m/>
    <x v="3"/>
    <s v="plays"/>
  </r>
  <r>
    <n v="521"/>
    <s v="Wilson Ltd"/>
    <s v="Function-based multi-state software"/>
    <n v="7600"/>
    <n v="11061"/>
    <x v="1"/>
    <n v="369"/>
    <x v="1"/>
    <s v="USD"/>
    <n v="1471928400"/>
    <n v="1472446800"/>
    <b v="0"/>
    <b v="1"/>
    <s v="film &amp; video/drama"/>
    <m/>
    <x v="4"/>
    <s v="drama"/>
  </r>
  <r>
    <n v="522"/>
    <s v="Cline, Peterson and Lowery"/>
    <s v="Innovative static budgetary management"/>
    <n v="50500"/>
    <n v="16389"/>
    <x v="0"/>
    <n v="191"/>
    <x v="1"/>
    <s v="USD"/>
    <n v="1341291600"/>
    <n v="1342328400"/>
    <b v="0"/>
    <b v="0"/>
    <s v="film &amp; video/shorts"/>
    <m/>
    <x v="4"/>
    <s v="shorts"/>
  </r>
  <r>
    <n v="523"/>
    <s v="Underwood, James and Jones"/>
    <s v="Triple-buffered holistic ability"/>
    <n v="900"/>
    <n v="6303"/>
    <x v="1"/>
    <n v="89"/>
    <x v="1"/>
    <s v="USD"/>
    <n v="1267682400"/>
    <n v="1268114400"/>
    <b v="0"/>
    <b v="0"/>
    <s v="film &amp; video/shorts"/>
    <m/>
    <x v="4"/>
    <s v="shorts"/>
  </r>
  <r>
    <n v="524"/>
    <s v="Johnson-Contreras"/>
    <s v="Diverse scalable superstructure"/>
    <n v="96700"/>
    <n v="81136"/>
    <x v="0"/>
    <n v="1979"/>
    <x v="1"/>
    <s v="USD"/>
    <n v="1272258000"/>
    <n v="1273381200"/>
    <b v="0"/>
    <b v="0"/>
    <s v="theater/plays"/>
    <m/>
    <x v="3"/>
    <s v="plays"/>
  </r>
  <r>
    <n v="525"/>
    <s v="Greene, Lloyd and Sims"/>
    <s v="Balanced leadingedge data-warehouse"/>
    <n v="2100"/>
    <n v="1768"/>
    <x v="0"/>
    <n v="63"/>
    <x v="1"/>
    <s v="USD"/>
    <n v="1290492000"/>
    <n v="1290837600"/>
    <b v="0"/>
    <b v="0"/>
    <s v="technology/wearables"/>
    <m/>
    <x v="2"/>
    <s v="wearables"/>
  </r>
  <r>
    <n v="526"/>
    <s v="Smith-Sparks"/>
    <s v="Digitized bandwidth-monitored open architecture"/>
    <n v="8300"/>
    <n v="12944"/>
    <x v="1"/>
    <n v="147"/>
    <x v="1"/>
    <s v="USD"/>
    <n v="1451109600"/>
    <n v="1454306400"/>
    <b v="0"/>
    <b v="1"/>
    <s v="theater/plays"/>
    <m/>
    <x v="3"/>
    <s v="plays"/>
  </r>
  <r>
    <n v="527"/>
    <s v="Rosario-Smith"/>
    <s v="Enterprise-wide intermediate portal"/>
    <n v="189200"/>
    <n v="188480"/>
    <x v="0"/>
    <n v="6080"/>
    <x v="0"/>
    <s v="CAD"/>
    <n v="1454652000"/>
    <n v="1457762400"/>
    <b v="0"/>
    <b v="0"/>
    <s v="film &amp; video/animation"/>
    <m/>
    <x v="4"/>
    <s v="animation"/>
  </r>
  <r>
    <n v="528"/>
    <s v="Avila, Ford and Welch"/>
    <s v="Focused leadingedge matrix"/>
    <n v="9000"/>
    <n v="7227"/>
    <x v="0"/>
    <n v="80"/>
    <x v="4"/>
    <s v="GBP"/>
    <n v="1385186400"/>
    <n v="1389074400"/>
    <b v="0"/>
    <b v="0"/>
    <s v="music/indie rock"/>
    <m/>
    <x v="1"/>
    <s v="indie rock"/>
  </r>
  <r>
    <n v="529"/>
    <s v="Gallegos Inc"/>
    <s v="Seamless logistical encryption"/>
    <n v="5100"/>
    <n v="574"/>
    <x v="0"/>
    <n v="9"/>
    <x v="1"/>
    <s v="USD"/>
    <n v="1399698000"/>
    <n v="1402117200"/>
    <b v="0"/>
    <b v="0"/>
    <s v="games/video games"/>
    <m/>
    <x v="6"/>
    <s v="video games"/>
  </r>
  <r>
    <n v="530"/>
    <s v="Morrow, Santiago and Soto"/>
    <s v="Stand-alone human-resource workforce"/>
    <n v="105000"/>
    <n v="96328"/>
    <x v="0"/>
    <n v="1784"/>
    <x v="1"/>
    <s v="USD"/>
    <n v="1283230800"/>
    <n v="1284440400"/>
    <b v="0"/>
    <b v="1"/>
    <s v="publishing/fiction"/>
    <m/>
    <x v="5"/>
    <s v="fiction"/>
  </r>
  <r>
    <n v="531"/>
    <s v="Berry-Richardson"/>
    <s v="Automated zero tolerance implementation"/>
    <n v="186700"/>
    <n v="178338"/>
    <x v="2"/>
    <n v="3640"/>
    <x v="5"/>
    <s v="CHF"/>
    <n v="1384149600"/>
    <n v="1388988000"/>
    <b v="0"/>
    <b v="0"/>
    <s v="games/video games"/>
    <m/>
    <x v="6"/>
    <s v="video games"/>
  </r>
  <r>
    <n v="532"/>
    <s v="Cordova-Torres"/>
    <s v="Pre-emptive grid-enabled contingency"/>
    <n v="1600"/>
    <n v="8046"/>
    <x v="1"/>
    <n v="126"/>
    <x v="0"/>
    <s v="CAD"/>
    <n v="1516860000"/>
    <n v="1516946400"/>
    <b v="0"/>
    <b v="0"/>
    <s v="theater/plays"/>
    <m/>
    <x v="3"/>
    <s v="plays"/>
  </r>
  <r>
    <n v="533"/>
    <s v="Holt, Bernard and Johnson"/>
    <s v="Multi-lateral didactic encoding"/>
    <n v="115600"/>
    <n v="184086"/>
    <x v="1"/>
    <n v="2218"/>
    <x v="4"/>
    <s v="GBP"/>
    <n v="1374642000"/>
    <n v="1377752400"/>
    <b v="0"/>
    <b v="0"/>
    <s v="music/indie rock"/>
    <m/>
    <x v="1"/>
    <s v="indie rock"/>
  </r>
  <r>
    <n v="534"/>
    <s v="Clark, Mccormick and Mendoza"/>
    <s v="Self-enabling didactic orchestration"/>
    <n v="89100"/>
    <n v="13385"/>
    <x v="0"/>
    <n v="243"/>
    <x v="1"/>
    <s v="USD"/>
    <n v="1534482000"/>
    <n v="1534568400"/>
    <b v="0"/>
    <b v="1"/>
    <s v="film &amp; video/drama"/>
    <m/>
    <x v="4"/>
    <s v="drama"/>
  </r>
  <r>
    <n v="535"/>
    <s v="Garrison LLC"/>
    <s v="Profit-focused 24/7 data-warehouse"/>
    <n v="2600"/>
    <n v="12533"/>
    <x v="1"/>
    <n v="202"/>
    <x v="6"/>
    <s v="EUR"/>
    <n v="1528434000"/>
    <n v="1528606800"/>
    <b v="0"/>
    <b v="1"/>
    <s v="theater/plays"/>
    <m/>
    <x v="3"/>
    <s v="plays"/>
  </r>
  <r>
    <n v="536"/>
    <s v="Shannon-Olson"/>
    <s v="Enhanced methodical middleware"/>
    <n v="9800"/>
    <n v="14697"/>
    <x v="1"/>
    <n v="140"/>
    <x v="6"/>
    <s v="EUR"/>
    <n v="1282626000"/>
    <n v="1284872400"/>
    <b v="0"/>
    <b v="0"/>
    <s v="publishing/fiction"/>
    <m/>
    <x v="5"/>
    <s v="fiction"/>
  </r>
  <r>
    <n v="537"/>
    <s v="Murillo-Mcfarland"/>
    <s v="Synchronized client-driven projection"/>
    <n v="84400"/>
    <n v="98935"/>
    <x v="1"/>
    <n v="1052"/>
    <x v="3"/>
    <s v="DKK"/>
    <n v="1535605200"/>
    <n v="1537592400"/>
    <b v="1"/>
    <b v="1"/>
    <s v="film &amp; video/documentary"/>
    <m/>
    <x v="4"/>
    <s v="documentary"/>
  </r>
  <r>
    <n v="538"/>
    <s v="Young, Gilbert and Escobar"/>
    <s v="Networked didactic time-frame"/>
    <n v="151300"/>
    <n v="57034"/>
    <x v="0"/>
    <n v="1296"/>
    <x v="1"/>
    <s v="USD"/>
    <n v="1379826000"/>
    <n v="1381208400"/>
    <b v="0"/>
    <b v="0"/>
    <s v="games/mobile games"/>
    <m/>
    <x v="6"/>
    <s v="mobile games"/>
  </r>
  <r>
    <n v="539"/>
    <s v="Thomas, Welch and Santana"/>
    <s v="Assimilated exuding toolset"/>
    <n v="9800"/>
    <n v="7120"/>
    <x v="0"/>
    <n v="77"/>
    <x v="1"/>
    <s v="USD"/>
    <n v="1561957200"/>
    <n v="1562475600"/>
    <b v="0"/>
    <b v="1"/>
    <s v="food/food trucks"/>
    <m/>
    <x v="0"/>
    <s v="food trucks"/>
  </r>
  <r>
    <n v="540"/>
    <s v="Brown-Pena"/>
    <s v="Front-line client-server secured line"/>
    <n v="5300"/>
    <n v="14097"/>
    <x v="1"/>
    <n v="247"/>
    <x v="1"/>
    <s v="USD"/>
    <n v="1525496400"/>
    <n v="1527397200"/>
    <b v="0"/>
    <b v="0"/>
    <s v="photography/photography books"/>
    <m/>
    <x v="7"/>
    <s v="photography books"/>
  </r>
  <r>
    <n v="541"/>
    <s v="Holder, Caldwell and Vance"/>
    <s v="Polarized systemic Internet solution"/>
    <n v="178000"/>
    <n v="43086"/>
    <x v="0"/>
    <n v="395"/>
    <x v="6"/>
    <s v="EUR"/>
    <n v="1433912400"/>
    <n v="1436158800"/>
    <b v="0"/>
    <b v="0"/>
    <s v="games/mobile games"/>
    <m/>
    <x v="6"/>
    <s v="mobile games"/>
  </r>
  <r>
    <n v="542"/>
    <s v="Harrison-Bridges"/>
    <s v="Profit-focused exuding moderator"/>
    <n v="77000"/>
    <n v="1930"/>
    <x v="0"/>
    <n v="49"/>
    <x v="4"/>
    <s v="GBP"/>
    <n v="1453442400"/>
    <n v="1456034400"/>
    <b v="0"/>
    <b v="0"/>
    <s v="music/indie rock"/>
    <m/>
    <x v="1"/>
    <s v="indie rock"/>
  </r>
  <r>
    <n v="543"/>
    <s v="Johnson, Murphy and Peterson"/>
    <s v="Cross-group high-level moderator"/>
    <n v="84900"/>
    <n v="13864"/>
    <x v="0"/>
    <n v="180"/>
    <x v="1"/>
    <s v="USD"/>
    <n v="1378875600"/>
    <n v="1380171600"/>
    <b v="0"/>
    <b v="0"/>
    <s v="games/video games"/>
    <m/>
    <x v="6"/>
    <s v="video games"/>
  </r>
  <r>
    <n v="544"/>
    <s v="Taylor Inc"/>
    <s v="Public-key 3rdgeneration system engine"/>
    <n v="2800"/>
    <n v="7742"/>
    <x v="1"/>
    <n v="84"/>
    <x v="1"/>
    <s v="USD"/>
    <n v="1452232800"/>
    <n v="1453356000"/>
    <b v="0"/>
    <b v="0"/>
    <s v="music/rock"/>
    <m/>
    <x v="1"/>
    <s v="rock"/>
  </r>
  <r>
    <n v="545"/>
    <s v="Deleon and Sons"/>
    <s v="Organized value-added access"/>
    <n v="184800"/>
    <n v="164109"/>
    <x v="0"/>
    <n v="2690"/>
    <x v="1"/>
    <s v="USD"/>
    <n v="1577253600"/>
    <n v="1578981600"/>
    <b v="0"/>
    <b v="0"/>
    <s v="theater/plays"/>
    <m/>
    <x v="3"/>
    <s v="plays"/>
  </r>
  <r>
    <n v="546"/>
    <s v="Benjamin, Paul and Ferguson"/>
    <s v="Cloned global Graphical User Interface"/>
    <n v="4200"/>
    <n v="6870"/>
    <x v="1"/>
    <n v="88"/>
    <x v="1"/>
    <s v="USD"/>
    <n v="1537160400"/>
    <n v="1537419600"/>
    <b v="0"/>
    <b v="1"/>
    <s v="theater/plays"/>
    <m/>
    <x v="3"/>
    <s v="plays"/>
  </r>
  <r>
    <n v="547"/>
    <s v="Hardin-Dixon"/>
    <s v="Focused solution-oriented matrix"/>
    <n v="1300"/>
    <n v="12597"/>
    <x v="1"/>
    <n v="156"/>
    <x v="1"/>
    <s v="USD"/>
    <n v="1422165600"/>
    <n v="1423202400"/>
    <b v="0"/>
    <b v="0"/>
    <s v="film &amp; video/drama"/>
    <m/>
    <x v="4"/>
    <s v="drama"/>
  </r>
  <r>
    <n v="548"/>
    <s v="York-Pitts"/>
    <s v="Monitored discrete toolset"/>
    <n v="66100"/>
    <n v="179074"/>
    <x v="1"/>
    <n v="2985"/>
    <x v="1"/>
    <s v="USD"/>
    <n v="1459486800"/>
    <n v="1460610000"/>
    <b v="0"/>
    <b v="0"/>
    <s v="theater/plays"/>
    <m/>
    <x v="3"/>
    <s v="plays"/>
  </r>
  <r>
    <n v="549"/>
    <s v="Jarvis and Sons"/>
    <s v="Business-focused intermediate system engine"/>
    <n v="29500"/>
    <n v="83843"/>
    <x v="1"/>
    <n v="762"/>
    <x v="1"/>
    <s v="USD"/>
    <n v="1369717200"/>
    <n v="1370494800"/>
    <b v="0"/>
    <b v="0"/>
    <s v="technology/wearables"/>
    <m/>
    <x v="2"/>
    <s v="wearables"/>
  </r>
  <r>
    <n v="550"/>
    <s v="Morrison-Henderson"/>
    <s v="De-engineered disintermediate encoding"/>
    <n v="100"/>
    <n v="4"/>
    <x v="3"/>
    <n v="1"/>
    <x v="5"/>
    <s v="CHF"/>
    <n v="1330495200"/>
    <n v="1332306000"/>
    <b v="0"/>
    <b v="0"/>
    <s v="music/indie rock"/>
    <m/>
    <x v="1"/>
    <s v="indie rock"/>
  </r>
  <r>
    <n v="551"/>
    <s v="Martin-James"/>
    <s v="Streamlined upward-trending analyzer"/>
    <n v="180100"/>
    <n v="105598"/>
    <x v="0"/>
    <n v="2779"/>
    <x v="2"/>
    <s v="AUD"/>
    <n v="1419055200"/>
    <n v="1422511200"/>
    <b v="0"/>
    <b v="1"/>
    <s v="technology/web"/>
    <m/>
    <x v="2"/>
    <s v="web"/>
  </r>
  <r>
    <n v="552"/>
    <s v="Mercer, Solomon and Singleton"/>
    <s v="Distributed human-resource policy"/>
    <n v="9000"/>
    <n v="8866"/>
    <x v="0"/>
    <n v="92"/>
    <x v="1"/>
    <s v="USD"/>
    <n v="1480140000"/>
    <n v="1480312800"/>
    <b v="0"/>
    <b v="0"/>
    <s v="theater/plays"/>
    <m/>
    <x v="3"/>
    <s v="plays"/>
  </r>
  <r>
    <n v="553"/>
    <s v="Dougherty, Austin and Mills"/>
    <s v="De-engineered 5thgeneration contingency"/>
    <n v="170600"/>
    <n v="75022"/>
    <x v="0"/>
    <n v="1028"/>
    <x v="1"/>
    <s v="USD"/>
    <n v="1293948000"/>
    <n v="1294034400"/>
    <b v="0"/>
    <b v="0"/>
    <s v="music/rock"/>
    <m/>
    <x v="1"/>
    <s v="rock"/>
  </r>
  <r>
    <n v="554"/>
    <s v="Ritter PLC"/>
    <s v="Multi-channeled upward-trending application"/>
    <n v="9500"/>
    <n v="14408"/>
    <x v="1"/>
    <n v="554"/>
    <x v="0"/>
    <s v="CAD"/>
    <n v="1482127200"/>
    <n v="1482645600"/>
    <b v="0"/>
    <b v="0"/>
    <s v="music/indie rock"/>
    <m/>
    <x v="1"/>
    <s v="indie rock"/>
  </r>
  <r>
    <n v="555"/>
    <s v="Anderson Group"/>
    <s v="Organic maximized database"/>
    <n v="6300"/>
    <n v="14089"/>
    <x v="1"/>
    <n v="135"/>
    <x v="3"/>
    <s v="DKK"/>
    <n v="1396414800"/>
    <n v="1399093200"/>
    <b v="0"/>
    <b v="0"/>
    <s v="music/rock"/>
    <m/>
    <x v="1"/>
    <s v="rock"/>
  </r>
  <r>
    <n v="556"/>
    <s v="Smith and Sons"/>
    <s v="Grass-roots 24/7 attitude"/>
    <n v="5200"/>
    <n v="12467"/>
    <x v="1"/>
    <n v="122"/>
    <x v="1"/>
    <s v="USD"/>
    <n v="1315285200"/>
    <n v="1315890000"/>
    <b v="0"/>
    <b v="1"/>
    <s v="publishing/translations"/>
    <m/>
    <x v="5"/>
    <s v="translations"/>
  </r>
  <r>
    <n v="557"/>
    <s v="Lam-Hamilton"/>
    <s v="Team-oriented global strategy"/>
    <n v="6000"/>
    <n v="11960"/>
    <x v="1"/>
    <n v="221"/>
    <x v="1"/>
    <s v="USD"/>
    <n v="1443762000"/>
    <n v="1444021200"/>
    <b v="0"/>
    <b v="1"/>
    <s v="film &amp; video/science fiction"/>
    <m/>
    <x v="4"/>
    <s v="science fiction"/>
  </r>
  <r>
    <n v="558"/>
    <s v="Ho Ltd"/>
    <s v="Enhanced client-driven capacity"/>
    <n v="5800"/>
    <n v="7966"/>
    <x v="1"/>
    <n v="126"/>
    <x v="1"/>
    <s v="USD"/>
    <n v="1456293600"/>
    <n v="1460005200"/>
    <b v="0"/>
    <b v="0"/>
    <s v="theater/plays"/>
    <m/>
    <x v="3"/>
    <s v="plays"/>
  </r>
  <r>
    <n v="559"/>
    <s v="Brown, Estrada and Jensen"/>
    <s v="Exclusive systematic productivity"/>
    <n v="105300"/>
    <n v="106321"/>
    <x v="1"/>
    <n v="1022"/>
    <x v="1"/>
    <s v="USD"/>
    <n v="1470114000"/>
    <n v="1470718800"/>
    <b v="0"/>
    <b v="0"/>
    <s v="theater/plays"/>
    <m/>
    <x v="3"/>
    <s v="plays"/>
  </r>
  <r>
    <n v="560"/>
    <s v="Hunt LLC"/>
    <s v="Re-engineered radical policy"/>
    <n v="20000"/>
    <n v="158832"/>
    <x v="1"/>
    <n v="3177"/>
    <x v="1"/>
    <s v="USD"/>
    <n v="1321596000"/>
    <n v="1325052000"/>
    <b v="0"/>
    <b v="0"/>
    <s v="film &amp; video/animation"/>
    <m/>
    <x v="4"/>
    <s v="animation"/>
  </r>
  <r>
    <n v="561"/>
    <s v="Fowler-Smith"/>
    <s v="Down-sized logistical adapter"/>
    <n v="3000"/>
    <n v="11091"/>
    <x v="1"/>
    <n v="198"/>
    <x v="5"/>
    <s v="CHF"/>
    <n v="1318827600"/>
    <n v="1319000400"/>
    <b v="0"/>
    <b v="0"/>
    <s v="theater/plays"/>
    <m/>
    <x v="3"/>
    <s v="plays"/>
  </r>
  <r>
    <n v="562"/>
    <s v="Blair Inc"/>
    <s v="Configurable bandwidth-monitored throughput"/>
    <n v="9900"/>
    <n v="1269"/>
    <x v="0"/>
    <n v="26"/>
    <x v="5"/>
    <s v="CHF"/>
    <n v="1552366800"/>
    <n v="1552539600"/>
    <b v="0"/>
    <b v="0"/>
    <s v="music/rock"/>
    <m/>
    <x v="1"/>
    <s v="rock"/>
  </r>
  <r>
    <n v="563"/>
    <s v="Kelley, Stanton and Sanchez"/>
    <s v="Optional tangible pricing structure"/>
    <n v="3700"/>
    <n v="5107"/>
    <x v="1"/>
    <n v="85"/>
    <x v="2"/>
    <s v="AUD"/>
    <n v="1542088800"/>
    <n v="1543816800"/>
    <b v="0"/>
    <b v="0"/>
    <s v="film &amp; video/documentary"/>
    <m/>
    <x v="4"/>
    <s v="documentary"/>
  </r>
  <r>
    <n v="564"/>
    <s v="Hernandez-Macdonald"/>
    <s v="Organic high-level implementation"/>
    <n v="168700"/>
    <n v="141393"/>
    <x v="0"/>
    <n v="1790"/>
    <x v="1"/>
    <s v="USD"/>
    <n v="1426395600"/>
    <n v="1427086800"/>
    <b v="0"/>
    <b v="0"/>
    <s v="theater/plays"/>
    <m/>
    <x v="3"/>
    <s v="plays"/>
  </r>
  <r>
    <n v="565"/>
    <s v="Joseph LLC"/>
    <s v="Decentralized logistical collaboration"/>
    <n v="94900"/>
    <n v="194166"/>
    <x v="1"/>
    <n v="3596"/>
    <x v="1"/>
    <s v="USD"/>
    <n v="1321336800"/>
    <n v="1323064800"/>
    <b v="0"/>
    <b v="0"/>
    <s v="theater/plays"/>
    <m/>
    <x v="3"/>
    <s v="plays"/>
  </r>
  <r>
    <n v="566"/>
    <s v="Webb-Smith"/>
    <s v="Advanced content-based installation"/>
    <n v="9300"/>
    <n v="4124"/>
    <x v="0"/>
    <n v="37"/>
    <x v="1"/>
    <s v="USD"/>
    <n v="1456293600"/>
    <n v="1458277200"/>
    <b v="0"/>
    <b v="1"/>
    <s v="music/electric music"/>
    <m/>
    <x v="1"/>
    <s v="electric music"/>
  </r>
  <r>
    <n v="567"/>
    <s v="Johns PLC"/>
    <s v="Distributed high-level open architecture"/>
    <n v="6800"/>
    <n v="14865"/>
    <x v="1"/>
    <n v="244"/>
    <x v="1"/>
    <s v="USD"/>
    <n v="1404968400"/>
    <n v="1405141200"/>
    <b v="0"/>
    <b v="0"/>
    <s v="music/rock"/>
    <m/>
    <x v="1"/>
    <s v="rock"/>
  </r>
  <r>
    <n v="568"/>
    <s v="Hardin-Foley"/>
    <s v="Synergized zero tolerance help-desk"/>
    <n v="72400"/>
    <n v="134688"/>
    <x v="1"/>
    <n v="5180"/>
    <x v="1"/>
    <s v="USD"/>
    <n v="1279170000"/>
    <n v="1283058000"/>
    <b v="0"/>
    <b v="0"/>
    <s v="theater/plays"/>
    <m/>
    <x v="3"/>
    <s v="plays"/>
  </r>
  <r>
    <n v="569"/>
    <s v="Fischer, Fowler and Arnold"/>
    <s v="Extended multi-tasking definition"/>
    <n v="20100"/>
    <n v="47705"/>
    <x v="1"/>
    <n v="589"/>
    <x v="6"/>
    <s v="EUR"/>
    <n v="1294725600"/>
    <n v="1295762400"/>
    <b v="0"/>
    <b v="0"/>
    <s v="film &amp; video/animation"/>
    <m/>
    <x v="4"/>
    <s v="animation"/>
  </r>
  <r>
    <n v="570"/>
    <s v="Martinez-Juarez"/>
    <s v="Realigned uniform knowledge user"/>
    <n v="31200"/>
    <n v="95364"/>
    <x v="1"/>
    <n v="2725"/>
    <x v="1"/>
    <s v="USD"/>
    <n v="1419055200"/>
    <n v="1419573600"/>
    <b v="0"/>
    <b v="1"/>
    <s v="music/rock"/>
    <m/>
    <x v="1"/>
    <s v="rock"/>
  </r>
  <r>
    <n v="571"/>
    <s v="Wilson and Sons"/>
    <s v="Monitored grid-enabled model"/>
    <n v="3500"/>
    <n v="3295"/>
    <x v="0"/>
    <n v="35"/>
    <x v="6"/>
    <s v="EUR"/>
    <n v="1434690000"/>
    <n v="1438750800"/>
    <b v="0"/>
    <b v="0"/>
    <s v="film &amp; video/shorts"/>
    <m/>
    <x v="4"/>
    <s v="shorts"/>
  </r>
  <r>
    <n v="572"/>
    <s v="Clements Group"/>
    <s v="Assimilated actuating policy"/>
    <n v="9000"/>
    <n v="4896"/>
    <x v="3"/>
    <n v="94"/>
    <x v="1"/>
    <s v="USD"/>
    <n v="1443416400"/>
    <n v="1444798800"/>
    <b v="0"/>
    <b v="1"/>
    <s v="music/rock"/>
    <m/>
    <x v="1"/>
    <s v="rock"/>
  </r>
  <r>
    <n v="573"/>
    <s v="Valenzuela-Cook"/>
    <s v="Total incremental productivity"/>
    <n v="6700"/>
    <n v="7496"/>
    <x v="1"/>
    <n v="300"/>
    <x v="1"/>
    <s v="USD"/>
    <n v="1399006800"/>
    <n v="1399179600"/>
    <b v="0"/>
    <b v="0"/>
    <s v="journalism/audio"/>
    <m/>
    <x v="8"/>
    <s v="audio"/>
  </r>
  <r>
    <n v="574"/>
    <s v="Parker, Haley and Foster"/>
    <s v="Adaptive local task-force"/>
    <n v="2700"/>
    <n v="9967"/>
    <x v="1"/>
    <n v="144"/>
    <x v="1"/>
    <s v="USD"/>
    <n v="1575698400"/>
    <n v="1576562400"/>
    <b v="0"/>
    <b v="1"/>
    <s v="food/food trucks"/>
    <m/>
    <x v="0"/>
    <s v="food trucks"/>
  </r>
  <r>
    <n v="575"/>
    <s v="Fuentes LLC"/>
    <s v="Universal zero-defect concept"/>
    <n v="83300"/>
    <n v="52421"/>
    <x v="0"/>
    <n v="558"/>
    <x v="1"/>
    <s v="USD"/>
    <n v="1400562000"/>
    <n v="1400821200"/>
    <b v="0"/>
    <b v="1"/>
    <s v="theater/plays"/>
    <m/>
    <x v="3"/>
    <s v="plays"/>
  </r>
  <r>
    <n v="576"/>
    <s v="Moran and Sons"/>
    <s v="Object-based bottom-line superstructure"/>
    <n v="9700"/>
    <n v="6298"/>
    <x v="0"/>
    <n v="64"/>
    <x v="1"/>
    <s v="USD"/>
    <n v="1509512400"/>
    <n v="1510984800"/>
    <b v="0"/>
    <b v="0"/>
    <s v="theater/plays"/>
    <m/>
    <x v="3"/>
    <s v="plays"/>
  </r>
  <r>
    <n v="577"/>
    <s v="Stevens Inc"/>
    <s v="Adaptive 24hour projection"/>
    <n v="8200"/>
    <n v="1546"/>
    <x v="3"/>
    <n v="37"/>
    <x v="1"/>
    <s v="USD"/>
    <n v="1299823200"/>
    <n v="1302066000"/>
    <b v="0"/>
    <b v="0"/>
    <s v="music/jazz"/>
    <m/>
    <x v="1"/>
    <s v="jazz"/>
  </r>
  <r>
    <n v="578"/>
    <s v="Martinez-Johnson"/>
    <s v="Sharable radical toolset"/>
    <n v="96500"/>
    <n v="16168"/>
    <x v="0"/>
    <n v="245"/>
    <x v="1"/>
    <s v="USD"/>
    <n v="1322719200"/>
    <n v="1322978400"/>
    <b v="0"/>
    <b v="0"/>
    <s v="film &amp; video/science fiction"/>
    <m/>
    <x v="4"/>
    <s v="science fiction"/>
  </r>
  <r>
    <n v="579"/>
    <s v="Franklin Inc"/>
    <s v="Focused multimedia knowledgebase"/>
    <n v="6200"/>
    <n v="6269"/>
    <x v="1"/>
    <n v="87"/>
    <x v="1"/>
    <s v="USD"/>
    <n v="1312693200"/>
    <n v="1313730000"/>
    <b v="0"/>
    <b v="0"/>
    <s v="music/jazz"/>
    <m/>
    <x v="1"/>
    <s v="jazz"/>
  </r>
  <r>
    <n v="580"/>
    <s v="Perez PLC"/>
    <s v="Seamless 6thgeneration extranet"/>
    <n v="43800"/>
    <n v="149578"/>
    <x v="1"/>
    <n v="3116"/>
    <x v="1"/>
    <s v="USD"/>
    <n v="1393394400"/>
    <n v="1394085600"/>
    <b v="0"/>
    <b v="0"/>
    <s v="theater/plays"/>
    <m/>
    <x v="3"/>
    <s v="plays"/>
  </r>
  <r>
    <n v="581"/>
    <s v="Sanchez, Cross and Savage"/>
    <s v="Sharable mobile knowledgebase"/>
    <n v="6000"/>
    <n v="3841"/>
    <x v="0"/>
    <n v="71"/>
    <x v="1"/>
    <s v="USD"/>
    <n v="1304053200"/>
    <n v="1305349200"/>
    <b v="0"/>
    <b v="0"/>
    <s v="technology/web"/>
    <m/>
    <x v="2"/>
    <s v="web"/>
  </r>
  <r>
    <n v="582"/>
    <s v="Pineda Ltd"/>
    <s v="Cross-group global system engine"/>
    <n v="8700"/>
    <n v="4531"/>
    <x v="0"/>
    <n v="42"/>
    <x v="1"/>
    <s v="USD"/>
    <n v="1433912400"/>
    <n v="1434344400"/>
    <b v="0"/>
    <b v="1"/>
    <s v="games/video games"/>
    <m/>
    <x v="6"/>
    <s v="video games"/>
  </r>
  <r>
    <n v="583"/>
    <s v="Powell and Sons"/>
    <s v="Centralized clear-thinking conglomeration"/>
    <n v="18900"/>
    <n v="60934"/>
    <x v="1"/>
    <n v="909"/>
    <x v="1"/>
    <s v="USD"/>
    <n v="1329717600"/>
    <n v="1331186400"/>
    <b v="0"/>
    <b v="0"/>
    <s v="film &amp; video/documentary"/>
    <m/>
    <x v="4"/>
    <s v="documentary"/>
  </r>
  <r>
    <n v="584"/>
    <s v="Nunez-Richards"/>
    <s v="De-engineered cohesive system engine"/>
    <n v="86400"/>
    <n v="103255"/>
    <x v="1"/>
    <n v="1613"/>
    <x v="1"/>
    <s v="USD"/>
    <n v="1335330000"/>
    <n v="1336539600"/>
    <b v="0"/>
    <b v="0"/>
    <s v="technology/web"/>
    <m/>
    <x v="2"/>
    <s v="web"/>
  </r>
  <r>
    <n v="585"/>
    <s v="Pugh LLC"/>
    <s v="Reactive analyzing function"/>
    <n v="8900"/>
    <n v="13065"/>
    <x v="1"/>
    <n v="136"/>
    <x v="1"/>
    <s v="USD"/>
    <n v="1268888400"/>
    <n v="1269752400"/>
    <b v="0"/>
    <b v="0"/>
    <s v="publishing/translations"/>
    <m/>
    <x v="5"/>
    <s v="translations"/>
  </r>
  <r>
    <n v="586"/>
    <s v="Rowe-Wong"/>
    <s v="Robust hybrid budgetary management"/>
    <n v="700"/>
    <n v="6654"/>
    <x v="1"/>
    <n v="130"/>
    <x v="1"/>
    <s v="USD"/>
    <n v="1289973600"/>
    <n v="1291615200"/>
    <b v="0"/>
    <b v="0"/>
    <s v="music/rock"/>
    <m/>
    <x v="1"/>
    <s v="rock"/>
  </r>
  <r>
    <n v="587"/>
    <s v="Williams-Santos"/>
    <s v="Open-source analyzing monitoring"/>
    <n v="9400"/>
    <n v="6852"/>
    <x v="0"/>
    <n v="156"/>
    <x v="0"/>
    <s v="CAD"/>
    <n v="1547877600"/>
    <n v="1552366800"/>
    <b v="0"/>
    <b v="1"/>
    <s v="food/food trucks"/>
    <m/>
    <x v="0"/>
    <s v="food trucks"/>
  </r>
  <r>
    <n v="588"/>
    <s v="Weber Inc"/>
    <s v="Up-sized discrete firmware"/>
    <n v="157600"/>
    <n v="124517"/>
    <x v="0"/>
    <n v="1368"/>
    <x v="4"/>
    <s v="GBP"/>
    <n v="1269493200"/>
    <n v="1272171600"/>
    <b v="0"/>
    <b v="0"/>
    <s v="theater/plays"/>
    <m/>
    <x v="3"/>
    <s v="plays"/>
  </r>
  <r>
    <n v="589"/>
    <s v="Avery, Brown and Parker"/>
    <s v="Exclusive intangible extranet"/>
    <n v="7900"/>
    <n v="5113"/>
    <x v="0"/>
    <n v="102"/>
    <x v="1"/>
    <s v="USD"/>
    <n v="1436072400"/>
    <n v="1436677200"/>
    <b v="0"/>
    <b v="0"/>
    <s v="film &amp; video/documentary"/>
    <m/>
    <x v="4"/>
    <s v="documentary"/>
  </r>
  <r>
    <n v="590"/>
    <s v="Cox Group"/>
    <s v="Synergized analyzing process improvement"/>
    <n v="7100"/>
    <n v="5824"/>
    <x v="0"/>
    <n v="86"/>
    <x v="2"/>
    <s v="AUD"/>
    <n v="1419141600"/>
    <n v="1420092000"/>
    <b v="0"/>
    <b v="0"/>
    <s v="publishing/radio &amp; podcasts"/>
    <m/>
    <x v="5"/>
    <s v="radio &amp; podcasts"/>
  </r>
  <r>
    <n v="591"/>
    <s v="Jensen LLC"/>
    <s v="Realigned dedicated system engine"/>
    <n v="600"/>
    <n v="6226"/>
    <x v="1"/>
    <n v="102"/>
    <x v="1"/>
    <s v="USD"/>
    <n v="1279083600"/>
    <n v="1279947600"/>
    <b v="0"/>
    <b v="0"/>
    <s v="games/video games"/>
    <m/>
    <x v="6"/>
    <s v="video games"/>
  </r>
  <r>
    <n v="592"/>
    <s v="Brown Inc"/>
    <s v="Object-based bandwidth-monitored concept"/>
    <n v="156800"/>
    <n v="20243"/>
    <x v="0"/>
    <n v="253"/>
    <x v="1"/>
    <s v="USD"/>
    <n v="1401426000"/>
    <n v="1402203600"/>
    <b v="0"/>
    <b v="0"/>
    <s v="theater/plays"/>
    <m/>
    <x v="3"/>
    <s v="plays"/>
  </r>
  <r>
    <n v="593"/>
    <s v="Hale-Hayes"/>
    <s v="Ameliorated client-driven open system"/>
    <n v="121600"/>
    <n v="188288"/>
    <x v="1"/>
    <n v="4006"/>
    <x v="1"/>
    <s v="USD"/>
    <n v="1395810000"/>
    <n v="1396933200"/>
    <b v="0"/>
    <b v="0"/>
    <s v="film &amp; video/animation"/>
    <m/>
    <x v="4"/>
    <s v="animation"/>
  </r>
  <r>
    <n v="594"/>
    <s v="Mcbride PLC"/>
    <s v="Upgradable leadingedge Local Area Network"/>
    <n v="157300"/>
    <n v="11167"/>
    <x v="0"/>
    <n v="157"/>
    <x v="1"/>
    <s v="USD"/>
    <n v="1467003600"/>
    <n v="1467262800"/>
    <b v="0"/>
    <b v="1"/>
    <s v="theater/plays"/>
    <m/>
    <x v="3"/>
    <s v="plays"/>
  </r>
  <r>
    <n v="595"/>
    <s v="Harris-Jennings"/>
    <s v="Customizable intermediate data-warehouse"/>
    <n v="70300"/>
    <n v="146595"/>
    <x v="1"/>
    <n v="1629"/>
    <x v="1"/>
    <s v="USD"/>
    <n v="1268715600"/>
    <n v="1270530000"/>
    <b v="0"/>
    <b v="1"/>
    <s v="theater/plays"/>
    <m/>
    <x v="3"/>
    <s v="plays"/>
  </r>
  <r>
    <n v="596"/>
    <s v="Becker-Scott"/>
    <s v="Managed optimizing archive"/>
    <n v="7900"/>
    <n v="7875"/>
    <x v="0"/>
    <n v="183"/>
    <x v="1"/>
    <s v="USD"/>
    <n v="1457157600"/>
    <n v="1457762400"/>
    <b v="0"/>
    <b v="1"/>
    <s v="film &amp; video/drama"/>
    <m/>
    <x v="4"/>
    <s v="drama"/>
  </r>
  <r>
    <n v="597"/>
    <s v="Todd, Freeman and Henry"/>
    <s v="Diverse systematic projection"/>
    <n v="73800"/>
    <n v="148779"/>
    <x v="1"/>
    <n v="2188"/>
    <x v="1"/>
    <s v="USD"/>
    <n v="1573970400"/>
    <n v="1575525600"/>
    <b v="0"/>
    <b v="0"/>
    <s v="theater/plays"/>
    <m/>
    <x v="3"/>
    <s v="plays"/>
  </r>
  <r>
    <n v="598"/>
    <s v="Martinez, Garza and Young"/>
    <s v="Up-sized web-enabled info-mediaries"/>
    <n v="108500"/>
    <n v="175868"/>
    <x v="1"/>
    <n v="2409"/>
    <x v="6"/>
    <s v="EUR"/>
    <n v="1276578000"/>
    <n v="1279083600"/>
    <b v="0"/>
    <b v="0"/>
    <s v="music/rock"/>
    <m/>
    <x v="1"/>
    <s v="rock"/>
  </r>
  <r>
    <n v="599"/>
    <s v="Smith-Ramos"/>
    <s v="Persevering optimizing Graphical User Interface"/>
    <n v="140300"/>
    <n v="5112"/>
    <x v="0"/>
    <n v="82"/>
    <x v="3"/>
    <s v="DKK"/>
    <n v="1423720800"/>
    <n v="1424412000"/>
    <b v="0"/>
    <b v="0"/>
    <s v="film &amp; video/documentary"/>
    <m/>
    <x v="4"/>
    <s v="documentary"/>
  </r>
  <r>
    <n v="600"/>
    <s v="Brown-George"/>
    <s v="Cross-platform tertiary array"/>
    <n v="100"/>
    <n v="5"/>
    <x v="0"/>
    <n v="1"/>
    <x v="4"/>
    <s v="GBP"/>
    <n v="1375160400"/>
    <n v="1376197200"/>
    <b v="0"/>
    <b v="0"/>
    <s v="food/food trucks"/>
    <m/>
    <x v="0"/>
    <s v="food trucks"/>
  </r>
  <r>
    <n v="601"/>
    <s v="Waters and Sons"/>
    <s v="Inverse neutral structure"/>
    <n v="6300"/>
    <n v="13018"/>
    <x v="1"/>
    <n v="194"/>
    <x v="1"/>
    <s v="USD"/>
    <n v="1401426000"/>
    <n v="1402894800"/>
    <b v="1"/>
    <b v="0"/>
    <s v="technology/wearables"/>
    <m/>
    <x v="2"/>
    <s v="wearables"/>
  </r>
  <r>
    <n v="602"/>
    <s v="Brown Ltd"/>
    <s v="Quality-focused system-worthy support"/>
    <n v="71100"/>
    <n v="91176"/>
    <x v="1"/>
    <n v="1140"/>
    <x v="1"/>
    <s v="USD"/>
    <n v="1433480400"/>
    <n v="1434430800"/>
    <b v="0"/>
    <b v="0"/>
    <s v="theater/plays"/>
    <m/>
    <x v="3"/>
    <s v="plays"/>
  </r>
  <r>
    <n v="603"/>
    <s v="Christian, Yates and Greer"/>
    <s v="Vision-oriented 5thgeneration array"/>
    <n v="5300"/>
    <n v="6342"/>
    <x v="1"/>
    <n v="102"/>
    <x v="1"/>
    <s v="USD"/>
    <n v="1555563600"/>
    <n v="1557896400"/>
    <b v="0"/>
    <b v="0"/>
    <s v="theater/plays"/>
    <m/>
    <x v="3"/>
    <s v="plays"/>
  </r>
  <r>
    <n v="604"/>
    <s v="Cole, Hernandez and Rodriguez"/>
    <s v="Cross-platform logistical circuit"/>
    <n v="88700"/>
    <n v="151438"/>
    <x v="1"/>
    <n v="2857"/>
    <x v="1"/>
    <s v="USD"/>
    <n v="1295676000"/>
    <n v="1297490400"/>
    <b v="0"/>
    <b v="0"/>
    <s v="theater/plays"/>
    <m/>
    <x v="3"/>
    <s v="plays"/>
  </r>
  <r>
    <n v="605"/>
    <s v="Ortiz, Valenzuela and Collins"/>
    <s v="Profound solution-oriented matrix"/>
    <n v="3300"/>
    <n v="6178"/>
    <x v="1"/>
    <n v="107"/>
    <x v="1"/>
    <s v="USD"/>
    <n v="1443848400"/>
    <n v="1447394400"/>
    <b v="0"/>
    <b v="0"/>
    <s v="publishing/nonfiction"/>
    <m/>
    <x v="5"/>
    <s v="nonfiction"/>
  </r>
  <r>
    <n v="606"/>
    <s v="Valencia PLC"/>
    <s v="Extended asynchronous initiative"/>
    <n v="3400"/>
    <n v="6405"/>
    <x v="1"/>
    <n v="160"/>
    <x v="4"/>
    <s v="GBP"/>
    <n v="1457330400"/>
    <n v="1458277200"/>
    <b v="0"/>
    <b v="0"/>
    <s v="music/rock"/>
    <m/>
    <x v="1"/>
    <s v="rock"/>
  </r>
  <r>
    <n v="607"/>
    <s v="Gordon, Mendez and Johnson"/>
    <s v="Fundamental needs-based frame"/>
    <n v="137600"/>
    <n v="180667"/>
    <x v="1"/>
    <n v="2230"/>
    <x v="1"/>
    <s v="USD"/>
    <n v="1395550800"/>
    <n v="1395723600"/>
    <b v="0"/>
    <b v="0"/>
    <s v="food/food trucks"/>
    <m/>
    <x v="0"/>
    <s v="food trucks"/>
  </r>
  <r>
    <n v="608"/>
    <s v="Johnson Group"/>
    <s v="Compatible full-range leverage"/>
    <n v="3900"/>
    <n v="11075"/>
    <x v="1"/>
    <n v="316"/>
    <x v="1"/>
    <s v="USD"/>
    <n v="1551852000"/>
    <n v="1552197600"/>
    <b v="0"/>
    <b v="1"/>
    <s v="music/jazz"/>
    <m/>
    <x v="1"/>
    <s v="jazz"/>
  </r>
  <r>
    <n v="609"/>
    <s v="Rose-Fuller"/>
    <s v="Upgradable holistic system engine"/>
    <n v="10000"/>
    <n v="12042"/>
    <x v="1"/>
    <n v="117"/>
    <x v="1"/>
    <s v="USD"/>
    <n v="1547618400"/>
    <n v="1549087200"/>
    <b v="0"/>
    <b v="0"/>
    <s v="film &amp; video/science fiction"/>
    <m/>
    <x v="4"/>
    <s v="science fiction"/>
  </r>
  <r>
    <n v="610"/>
    <s v="Hughes, Mendez and Patterson"/>
    <s v="Stand-alone multi-state data-warehouse"/>
    <n v="42800"/>
    <n v="179356"/>
    <x v="1"/>
    <n v="6406"/>
    <x v="1"/>
    <s v="USD"/>
    <n v="1355637600"/>
    <n v="1356847200"/>
    <b v="0"/>
    <b v="0"/>
    <s v="theater/plays"/>
    <m/>
    <x v="3"/>
    <s v="plays"/>
  </r>
  <r>
    <n v="611"/>
    <s v="Brady, Cortez and Rodriguez"/>
    <s v="Multi-lateral maximized core"/>
    <n v="8200"/>
    <n v="1136"/>
    <x v="3"/>
    <n v="15"/>
    <x v="1"/>
    <s v="USD"/>
    <n v="1374728400"/>
    <n v="1375765200"/>
    <b v="0"/>
    <b v="0"/>
    <s v="theater/plays"/>
    <m/>
    <x v="3"/>
    <s v="plays"/>
  </r>
  <r>
    <n v="612"/>
    <s v="Wang, Nguyen and Horton"/>
    <s v="Innovative holistic hub"/>
    <n v="6200"/>
    <n v="8645"/>
    <x v="1"/>
    <n v="192"/>
    <x v="1"/>
    <s v="USD"/>
    <n v="1287810000"/>
    <n v="1289800800"/>
    <b v="0"/>
    <b v="0"/>
    <s v="music/electric music"/>
    <m/>
    <x v="1"/>
    <s v="electric music"/>
  </r>
  <r>
    <n v="613"/>
    <s v="Santos, Williams and Brown"/>
    <s v="Reverse-engineered 24/7 methodology"/>
    <n v="1100"/>
    <n v="1914"/>
    <x v="1"/>
    <n v="26"/>
    <x v="0"/>
    <s v="CAD"/>
    <n v="1503723600"/>
    <n v="1504501200"/>
    <b v="0"/>
    <b v="0"/>
    <s v="theater/plays"/>
    <m/>
    <x v="3"/>
    <s v="plays"/>
  </r>
  <r>
    <n v="614"/>
    <s v="Barnett and Sons"/>
    <s v="Business-focused dynamic info-mediaries"/>
    <n v="26500"/>
    <n v="41205"/>
    <x v="1"/>
    <n v="723"/>
    <x v="1"/>
    <s v="USD"/>
    <n v="1484114400"/>
    <n v="1485669600"/>
    <b v="0"/>
    <b v="0"/>
    <s v="theater/plays"/>
    <m/>
    <x v="3"/>
    <s v="plays"/>
  </r>
  <r>
    <n v="615"/>
    <s v="Petersen-Rodriguez"/>
    <s v="Digitized clear-thinking installation"/>
    <n v="8500"/>
    <n v="14488"/>
    <x v="1"/>
    <n v="170"/>
    <x v="6"/>
    <s v="EUR"/>
    <n v="1461906000"/>
    <n v="1462770000"/>
    <b v="0"/>
    <b v="0"/>
    <s v="theater/plays"/>
    <m/>
    <x v="3"/>
    <s v="plays"/>
  </r>
  <r>
    <n v="616"/>
    <s v="Burnett-Mora"/>
    <s v="Quality-focused 24/7 superstructure"/>
    <n v="6400"/>
    <n v="12129"/>
    <x v="1"/>
    <n v="238"/>
    <x v="4"/>
    <s v="GBP"/>
    <n v="1379653200"/>
    <n v="1379739600"/>
    <b v="0"/>
    <b v="1"/>
    <s v="music/indie rock"/>
    <m/>
    <x v="1"/>
    <s v="indie rock"/>
  </r>
  <r>
    <n v="617"/>
    <s v="King LLC"/>
    <s v="Multi-channeled local intranet"/>
    <n v="1400"/>
    <n v="3496"/>
    <x v="1"/>
    <n v="55"/>
    <x v="1"/>
    <s v="USD"/>
    <n v="1401858000"/>
    <n v="1402722000"/>
    <b v="0"/>
    <b v="0"/>
    <s v="theater/plays"/>
    <m/>
    <x v="3"/>
    <s v="plays"/>
  </r>
  <r>
    <n v="618"/>
    <s v="Miller Ltd"/>
    <s v="Open-architected mobile emulation"/>
    <n v="198600"/>
    <n v="97037"/>
    <x v="0"/>
    <n v="1198"/>
    <x v="1"/>
    <s v="USD"/>
    <n v="1367470800"/>
    <n v="1369285200"/>
    <b v="0"/>
    <b v="0"/>
    <s v="publishing/nonfiction"/>
    <m/>
    <x v="5"/>
    <s v="nonfiction"/>
  </r>
  <r>
    <n v="619"/>
    <s v="Case LLC"/>
    <s v="Ameliorated foreground methodology"/>
    <n v="195900"/>
    <n v="55757"/>
    <x v="0"/>
    <n v="648"/>
    <x v="1"/>
    <s v="USD"/>
    <n v="1304658000"/>
    <n v="1304744400"/>
    <b v="1"/>
    <b v="1"/>
    <s v="theater/plays"/>
    <m/>
    <x v="3"/>
    <s v="plays"/>
  </r>
  <r>
    <n v="620"/>
    <s v="Swanson, Wilson and Baker"/>
    <s v="Synergized well-modulated project"/>
    <n v="4300"/>
    <n v="11525"/>
    <x v="1"/>
    <n v="128"/>
    <x v="2"/>
    <s v="AUD"/>
    <n v="1467954000"/>
    <n v="1468299600"/>
    <b v="0"/>
    <b v="0"/>
    <s v="photography/photography books"/>
    <m/>
    <x v="7"/>
    <s v="photography books"/>
  </r>
  <r>
    <n v="621"/>
    <s v="Dean, Fox and Phillips"/>
    <s v="Extended context-sensitive forecast"/>
    <n v="25600"/>
    <n v="158669"/>
    <x v="1"/>
    <n v="2144"/>
    <x v="1"/>
    <s v="USD"/>
    <n v="1473742800"/>
    <n v="1474174800"/>
    <b v="0"/>
    <b v="0"/>
    <s v="theater/plays"/>
    <m/>
    <x v="3"/>
    <s v="plays"/>
  </r>
  <r>
    <n v="622"/>
    <s v="Smith-Smith"/>
    <s v="Total leadingedge neural-net"/>
    <n v="189000"/>
    <n v="5916"/>
    <x v="0"/>
    <n v="64"/>
    <x v="1"/>
    <s v="USD"/>
    <n v="1523768400"/>
    <n v="1526014800"/>
    <b v="0"/>
    <b v="0"/>
    <s v="music/indie rock"/>
    <m/>
    <x v="1"/>
    <s v="indie rock"/>
  </r>
  <r>
    <n v="623"/>
    <s v="Smith, Scott and Rodriguez"/>
    <s v="Organic actuating protocol"/>
    <n v="94300"/>
    <n v="150806"/>
    <x v="1"/>
    <n v="2693"/>
    <x v="4"/>
    <s v="GBP"/>
    <n v="1437022800"/>
    <n v="1437454800"/>
    <b v="0"/>
    <b v="0"/>
    <s v="theater/plays"/>
    <m/>
    <x v="3"/>
    <s v="plays"/>
  </r>
  <r>
    <n v="624"/>
    <s v="White, Robertson and Roberts"/>
    <s v="Down-sized national software"/>
    <n v="5100"/>
    <n v="14249"/>
    <x v="1"/>
    <n v="432"/>
    <x v="1"/>
    <s v="USD"/>
    <n v="1422165600"/>
    <n v="1422684000"/>
    <b v="0"/>
    <b v="0"/>
    <s v="photography/photography books"/>
    <m/>
    <x v="7"/>
    <s v="photography books"/>
  </r>
  <r>
    <n v="625"/>
    <s v="Martinez Inc"/>
    <s v="Organic upward-trending Graphical User Interface"/>
    <n v="7500"/>
    <n v="5803"/>
    <x v="0"/>
    <n v="62"/>
    <x v="1"/>
    <s v="USD"/>
    <n v="1580104800"/>
    <n v="1581314400"/>
    <b v="0"/>
    <b v="0"/>
    <s v="theater/plays"/>
    <m/>
    <x v="3"/>
    <s v="plays"/>
  </r>
  <r>
    <n v="626"/>
    <s v="Tucker, Mccoy and Marquez"/>
    <s v="Synergistic tertiary budgetary management"/>
    <n v="6400"/>
    <n v="13205"/>
    <x v="1"/>
    <n v="189"/>
    <x v="1"/>
    <s v="USD"/>
    <n v="1285650000"/>
    <n v="1286427600"/>
    <b v="0"/>
    <b v="1"/>
    <s v="theater/plays"/>
    <m/>
    <x v="3"/>
    <s v="plays"/>
  </r>
  <r>
    <n v="627"/>
    <s v="Martin, Lee and Armstrong"/>
    <s v="Open-architected incremental ability"/>
    <n v="1600"/>
    <n v="11108"/>
    <x v="1"/>
    <n v="154"/>
    <x v="4"/>
    <s v="GBP"/>
    <n v="1276664400"/>
    <n v="1278738000"/>
    <b v="1"/>
    <b v="0"/>
    <s v="food/food trucks"/>
    <m/>
    <x v="0"/>
    <s v="food trucks"/>
  </r>
  <r>
    <n v="628"/>
    <s v="Dunn, Moreno and Green"/>
    <s v="Intuitive object-oriented task-force"/>
    <n v="1900"/>
    <n v="2884"/>
    <x v="1"/>
    <n v="96"/>
    <x v="1"/>
    <s v="USD"/>
    <n v="1286168400"/>
    <n v="1286427600"/>
    <b v="0"/>
    <b v="0"/>
    <s v="music/indie rock"/>
    <m/>
    <x v="1"/>
    <s v="indie rock"/>
  </r>
  <r>
    <n v="629"/>
    <s v="Jackson, Martinez and Ray"/>
    <s v="Multi-tiered executive toolset"/>
    <n v="85900"/>
    <n v="55476"/>
    <x v="0"/>
    <n v="750"/>
    <x v="1"/>
    <s v="USD"/>
    <n v="1467781200"/>
    <n v="1467954000"/>
    <b v="0"/>
    <b v="1"/>
    <s v="theater/plays"/>
    <m/>
    <x v="3"/>
    <s v="plays"/>
  </r>
  <r>
    <n v="630"/>
    <s v="Patterson-Johnson"/>
    <s v="Grass-roots directional workforce"/>
    <n v="9500"/>
    <n v="5973"/>
    <x v="3"/>
    <n v="87"/>
    <x v="1"/>
    <s v="USD"/>
    <n v="1556686800"/>
    <n v="1557637200"/>
    <b v="0"/>
    <b v="1"/>
    <s v="theater/plays"/>
    <m/>
    <x v="3"/>
    <s v="plays"/>
  </r>
  <r>
    <n v="631"/>
    <s v="Carlson-Hernandez"/>
    <s v="Quality-focused real-time solution"/>
    <n v="59200"/>
    <n v="183756"/>
    <x v="1"/>
    <n v="3063"/>
    <x v="1"/>
    <s v="USD"/>
    <n v="1553576400"/>
    <n v="1553922000"/>
    <b v="0"/>
    <b v="0"/>
    <s v="theater/plays"/>
    <m/>
    <x v="3"/>
    <s v="plays"/>
  </r>
  <r>
    <n v="632"/>
    <s v="Parker PLC"/>
    <s v="Reduced interactive matrix"/>
    <n v="72100"/>
    <n v="30902"/>
    <x v="2"/>
    <n v="278"/>
    <x v="1"/>
    <s v="USD"/>
    <n v="1414904400"/>
    <n v="1416463200"/>
    <b v="0"/>
    <b v="0"/>
    <s v="theater/plays"/>
    <m/>
    <x v="3"/>
    <s v="plays"/>
  </r>
  <r>
    <n v="633"/>
    <s v="Yu and Sons"/>
    <s v="Adaptive context-sensitive architecture"/>
    <n v="6700"/>
    <n v="5569"/>
    <x v="0"/>
    <n v="105"/>
    <x v="1"/>
    <s v="USD"/>
    <n v="1446876000"/>
    <n v="1447221600"/>
    <b v="0"/>
    <b v="0"/>
    <s v="film &amp; video/animation"/>
    <m/>
    <x v="4"/>
    <s v="animation"/>
  </r>
  <r>
    <n v="634"/>
    <s v="Taylor, Johnson and Hernandez"/>
    <s v="Polarized incremental portal"/>
    <n v="118200"/>
    <n v="92824"/>
    <x v="3"/>
    <n v="1658"/>
    <x v="1"/>
    <s v="USD"/>
    <n v="1490418000"/>
    <n v="1491627600"/>
    <b v="0"/>
    <b v="0"/>
    <s v="film &amp; video/television"/>
    <m/>
    <x v="4"/>
    <s v="television"/>
  </r>
  <r>
    <n v="635"/>
    <s v="Mack Ltd"/>
    <s v="Reactive regional access"/>
    <n v="139000"/>
    <n v="158590"/>
    <x v="1"/>
    <n v="2266"/>
    <x v="1"/>
    <s v="USD"/>
    <n v="1360389600"/>
    <n v="1363150800"/>
    <b v="0"/>
    <b v="0"/>
    <s v="film &amp; video/television"/>
    <m/>
    <x v="4"/>
    <s v="television"/>
  </r>
  <r>
    <n v="636"/>
    <s v="Lamb-Sanders"/>
    <s v="Stand-alone reciprocal frame"/>
    <n v="197700"/>
    <n v="127591"/>
    <x v="0"/>
    <n v="2604"/>
    <x v="3"/>
    <s v="DKK"/>
    <n v="1326866400"/>
    <n v="1330754400"/>
    <b v="0"/>
    <b v="1"/>
    <s v="film &amp; video/animation"/>
    <m/>
    <x v="4"/>
    <s v="animation"/>
  </r>
  <r>
    <n v="637"/>
    <s v="Williams-Ramirez"/>
    <s v="Open-architected 24/7 throughput"/>
    <n v="8500"/>
    <n v="6750"/>
    <x v="0"/>
    <n v="65"/>
    <x v="1"/>
    <s v="USD"/>
    <n v="1479103200"/>
    <n v="1479794400"/>
    <b v="0"/>
    <b v="0"/>
    <s v="theater/plays"/>
    <m/>
    <x v="3"/>
    <s v="plays"/>
  </r>
  <r>
    <n v="638"/>
    <s v="Weaver Ltd"/>
    <s v="Monitored 24/7 approach"/>
    <n v="81600"/>
    <n v="9318"/>
    <x v="0"/>
    <n v="94"/>
    <x v="1"/>
    <s v="USD"/>
    <n v="1280206800"/>
    <n v="1281243600"/>
    <b v="0"/>
    <b v="1"/>
    <s v="theater/plays"/>
    <m/>
    <x v="3"/>
    <s v="plays"/>
  </r>
  <r>
    <n v="639"/>
    <s v="Barnes-Williams"/>
    <s v="Upgradable explicit forecast"/>
    <n v="8600"/>
    <n v="4832"/>
    <x v="2"/>
    <n v="45"/>
    <x v="1"/>
    <s v="USD"/>
    <n v="1532754000"/>
    <n v="1532754000"/>
    <b v="0"/>
    <b v="1"/>
    <s v="film &amp; video/drama"/>
    <m/>
    <x v="4"/>
    <s v="drama"/>
  </r>
  <r>
    <n v="640"/>
    <s v="Richardson, Woodward and Hansen"/>
    <s v="Pre-emptive context-sensitive support"/>
    <n v="119800"/>
    <n v="19769"/>
    <x v="0"/>
    <n v="257"/>
    <x v="1"/>
    <s v="USD"/>
    <n v="1453096800"/>
    <n v="1453356000"/>
    <b v="0"/>
    <b v="0"/>
    <s v="theater/plays"/>
    <m/>
    <x v="3"/>
    <s v="plays"/>
  </r>
  <r>
    <n v="641"/>
    <s v="Hunt, Barker and Baker"/>
    <s v="Business-focused leadingedge instruction set"/>
    <n v="9400"/>
    <n v="11277"/>
    <x v="1"/>
    <n v="194"/>
    <x v="5"/>
    <s v="CHF"/>
    <n v="1487570400"/>
    <n v="1489986000"/>
    <b v="0"/>
    <b v="0"/>
    <s v="theater/plays"/>
    <m/>
    <x v="3"/>
    <s v="plays"/>
  </r>
  <r>
    <n v="642"/>
    <s v="Ramos, Moreno and Lewis"/>
    <s v="Extended multi-state knowledge user"/>
    <n v="9200"/>
    <n v="13382"/>
    <x v="1"/>
    <n v="129"/>
    <x v="0"/>
    <s v="CAD"/>
    <n v="1545026400"/>
    <n v="1545804000"/>
    <b v="0"/>
    <b v="0"/>
    <s v="technology/wearables"/>
    <m/>
    <x v="2"/>
    <s v="wearables"/>
  </r>
  <r>
    <n v="643"/>
    <s v="Harris Inc"/>
    <s v="Future-proofed modular groupware"/>
    <n v="14900"/>
    <n v="32986"/>
    <x v="1"/>
    <n v="375"/>
    <x v="1"/>
    <s v="USD"/>
    <n v="1488348000"/>
    <n v="1489899600"/>
    <b v="0"/>
    <b v="0"/>
    <s v="theater/plays"/>
    <m/>
    <x v="3"/>
    <s v="plays"/>
  </r>
  <r>
    <n v="644"/>
    <s v="Peters-Nelson"/>
    <s v="Distributed real-time algorithm"/>
    <n v="169400"/>
    <n v="81984"/>
    <x v="0"/>
    <n v="2928"/>
    <x v="0"/>
    <s v="CAD"/>
    <n v="1545112800"/>
    <n v="1546495200"/>
    <b v="0"/>
    <b v="0"/>
    <s v="theater/plays"/>
    <m/>
    <x v="3"/>
    <s v="plays"/>
  </r>
  <r>
    <n v="645"/>
    <s v="Ferguson, Murphy and Bright"/>
    <s v="Multi-lateral heuristic throughput"/>
    <n v="192100"/>
    <n v="178483"/>
    <x v="0"/>
    <n v="4697"/>
    <x v="1"/>
    <s v="USD"/>
    <n v="1537938000"/>
    <n v="1539752400"/>
    <b v="0"/>
    <b v="1"/>
    <s v="music/rock"/>
    <m/>
    <x v="1"/>
    <s v="rock"/>
  </r>
  <r>
    <n v="646"/>
    <s v="Robinson Group"/>
    <s v="Switchable reciprocal middleware"/>
    <n v="98700"/>
    <n v="87448"/>
    <x v="0"/>
    <n v="2915"/>
    <x v="1"/>
    <s v="USD"/>
    <n v="1363150800"/>
    <n v="1364101200"/>
    <b v="0"/>
    <b v="0"/>
    <s v="games/video games"/>
    <m/>
    <x v="6"/>
    <s v="video games"/>
  </r>
  <r>
    <n v="647"/>
    <s v="Jordan-Wolfe"/>
    <s v="Inverse multimedia Graphic Interface"/>
    <n v="4500"/>
    <n v="1863"/>
    <x v="0"/>
    <n v="18"/>
    <x v="1"/>
    <s v="USD"/>
    <n v="1523250000"/>
    <n v="1525323600"/>
    <b v="0"/>
    <b v="0"/>
    <s v="publishing/translations"/>
    <m/>
    <x v="5"/>
    <s v="translations"/>
  </r>
  <r>
    <n v="648"/>
    <s v="Vargas-Cox"/>
    <s v="Vision-oriented local contingency"/>
    <n v="98600"/>
    <n v="62174"/>
    <x v="3"/>
    <n v="723"/>
    <x v="1"/>
    <s v="USD"/>
    <n v="1499317200"/>
    <n v="1500872400"/>
    <b v="1"/>
    <b v="0"/>
    <s v="food/food trucks"/>
    <m/>
    <x v="0"/>
    <s v="food trucks"/>
  </r>
  <r>
    <n v="649"/>
    <s v="Yang and Sons"/>
    <s v="Reactive 6thgeneration hub"/>
    <n v="121700"/>
    <n v="59003"/>
    <x v="0"/>
    <n v="602"/>
    <x v="5"/>
    <s v="CHF"/>
    <n v="1287550800"/>
    <n v="1288501200"/>
    <b v="1"/>
    <b v="1"/>
    <s v="theater/plays"/>
    <m/>
    <x v="3"/>
    <s v="plays"/>
  </r>
  <r>
    <n v="650"/>
    <s v="Wilson, Wilson and Mathis"/>
    <s v="Optional asymmetric success"/>
    <n v="100"/>
    <n v="2"/>
    <x v="0"/>
    <n v="1"/>
    <x v="1"/>
    <s v="USD"/>
    <n v="1404795600"/>
    <n v="1407128400"/>
    <b v="0"/>
    <b v="0"/>
    <s v="music/jazz"/>
    <m/>
    <x v="1"/>
    <s v="jazz"/>
  </r>
  <r>
    <n v="651"/>
    <s v="Wang, Koch and Weaver"/>
    <s v="Digitized analyzing capacity"/>
    <n v="196700"/>
    <n v="174039"/>
    <x v="0"/>
    <n v="3868"/>
    <x v="6"/>
    <s v="EUR"/>
    <n v="1393048800"/>
    <n v="1394344800"/>
    <b v="0"/>
    <b v="0"/>
    <s v="film &amp; video/shorts"/>
    <m/>
    <x v="4"/>
    <s v="shorts"/>
  </r>
  <r>
    <n v="652"/>
    <s v="Cisneros Ltd"/>
    <s v="Vision-oriented regional hub"/>
    <n v="10000"/>
    <n v="12684"/>
    <x v="1"/>
    <n v="409"/>
    <x v="1"/>
    <s v="USD"/>
    <n v="1470373200"/>
    <n v="1474088400"/>
    <b v="0"/>
    <b v="0"/>
    <s v="technology/web"/>
    <m/>
    <x v="2"/>
    <s v="web"/>
  </r>
  <r>
    <n v="653"/>
    <s v="Williams-Jones"/>
    <s v="Monitored incremental info-mediaries"/>
    <n v="600"/>
    <n v="14033"/>
    <x v="1"/>
    <n v="234"/>
    <x v="1"/>
    <s v="USD"/>
    <n v="1460091600"/>
    <n v="1460264400"/>
    <b v="0"/>
    <b v="0"/>
    <s v="technology/web"/>
    <m/>
    <x v="2"/>
    <s v="web"/>
  </r>
  <r>
    <n v="654"/>
    <s v="Roberts, Hinton and Williams"/>
    <s v="Programmable static middleware"/>
    <n v="35000"/>
    <n v="177936"/>
    <x v="1"/>
    <n v="3016"/>
    <x v="1"/>
    <s v="USD"/>
    <n v="1440392400"/>
    <n v="1440824400"/>
    <b v="0"/>
    <b v="0"/>
    <s v="music/metal"/>
    <m/>
    <x v="1"/>
    <s v="metal"/>
  </r>
  <r>
    <n v="655"/>
    <s v="Gonzalez, Williams and Benson"/>
    <s v="Multi-layered bottom-line encryption"/>
    <n v="6900"/>
    <n v="13212"/>
    <x v="1"/>
    <n v="264"/>
    <x v="1"/>
    <s v="USD"/>
    <n v="1488434400"/>
    <n v="1489554000"/>
    <b v="1"/>
    <b v="0"/>
    <s v="photography/photography books"/>
    <m/>
    <x v="7"/>
    <s v="photography books"/>
  </r>
  <r>
    <n v="656"/>
    <s v="Hobbs, Brown and Lee"/>
    <s v="Vision-oriented systematic Graphical User Interface"/>
    <n v="118400"/>
    <n v="49879"/>
    <x v="0"/>
    <n v="504"/>
    <x v="2"/>
    <s v="AUD"/>
    <n v="1514440800"/>
    <n v="1514872800"/>
    <b v="0"/>
    <b v="0"/>
    <s v="food/food trucks"/>
    <m/>
    <x v="0"/>
    <s v="food trucks"/>
  </r>
  <r>
    <n v="657"/>
    <s v="Russo, Kim and Mccoy"/>
    <s v="Balanced optimal hardware"/>
    <n v="10000"/>
    <n v="824"/>
    <x v="0"/>
    <n v="14"/>
    <x v="1"/>
    <s v="USD"/>
    <n v="1514354400"/>
    <n v="1515736800"/>
    <b v="0"/>
    <b v="0"/>
    <s v="film &amp; video/science fiction"/>
    <m/>
    <x v="4"/>
    <s v="science fiction"/>
  </r>
  <r>
    <n v="658"/>
    <s v="Howell, Myers and Olson"/>
    <s v="Self-enabling mission-critical success"/>
    <n v="52600"/>
    <n v="31594"/>
    <x v="3"/>
    <n v="390"/>
    <x v="1"/>
    <s v="USD"/>
    <n v="1440910800"/>
    <n v="1442898000"/>
    <b v="0"/>
    <b v="0"/>
    <s v="music/rock"/>
    <m/>
    <x v="1"/>
    <s v="rock"/>
  </r>
  <r>
    <n v="659"/>
    <s v="Bailey and Sons"/>
    <s v="Grass-roots dynamic emulation"/>
    <n v="120700"/>
    <n v="57010"/>
    <x v="0"/>
    <n v="750"/>
    <x v="4"/>
    <s v="GBP"/>
    <n v="1296108000"/>
    <n v="1296194400"/>
    <b v="0"/>
    <b v="0"/>
    <s v="film &amp; video/documentary"/>
    <m/>
    <x v="4"/>
    <s v="documentary"/>
  </r>
  <r>
    <n v="660"/>
    <s v="Jensen-Brown"/>
    <s v="Fundamental disintermediate matrix"/>
    <n v="9100"/>
    <n v="7438"/>
    <x v="0"/>
    <n v="77"/>
    <x v="1"/>
    <s v="USD"/>
    <n v="1440133200"/>
    <n v="1440910800"/>
    <b v="1"/>
    <b v="0"/>
    <s v="theater/plays"/>
    <m/>
    <x v="3"/>
    <s v="plays"/>
  </r>
  <r>
    <n v="661"/>
    <s v="Smith Group"/>
    <s v="Right-sized secondary challenge"/>
    <n v="106800"/>
    <n v="57872"/>
    <x v="0"/>
    <n v="752"/>
    <x v="3"/>
    <s v="DKK"/>
    <n v="1332910800"/>
    <n v="1335502800"/>
    <b v="0"/>
    <b v="0"/>
    <s v="music/jazz"/>
    <m/>
    <x v="1"/>
    <s v="jazz"/>
  </r>
  <r>
    <n v="662"/>
    <s v="Murphy-Farrell"/>
    <s v="Implemented exuding software"/>
    <n v="9100"/>
    <n v="8906"/>
    <x v="0"/>
    <n v="131"/>
    <x v="1"/>
    <s v="USD"/>
    <n v="1544335200"/>
    <n v="1544680800"/>
    <b v="0"/>
    <b v="0"/>
    <s v="theater/plays"/>
    <m/>
    <x v="3"/>
    <s v="plays"/>
  </r>
  <r>
    <n v="663"/>
    <s v="Everett-Wolfe"/>
    <s v="Total optimizing software"/>
    <n v="10000"/>
    <n v="7724"/>
    <x v="0"/>
    <n v="87"/>
    <x v="1"/>
    <s v="USD"/>
    <n v="1286427600"/>
    <n v="1288414800"/>
    <b v="0"/>
    <b v="0"/>
    <s v="theater/plays"/>
    <m/>
    <x v="3"/>
    <s v="plays"/>
  </r>
  <r>
    <n v="664"/>
    <s v="Young PLC"/>
    <s v="Optional maximized attitude"/>
    <n v="79400"/>
    <n v="26571"/>
    <x v="0"/>
    <n v="1063"/>
    <x v="1"/>
    <s v="USD"/>
    <n v="1329717600"/>
    <n v="1330581600"/>
    <b v="0"/>
    <b v="0"/>
    <s v="music/jazz"/>
    <m/>
    <x v="1"/>
    <s v="jazz"/>
  </r>
  <r>
    <n v="665"/>
    <s v="Park-Goodman"/>
    <s v="Customer-focused impactful extranet"/>
    <n v="5100"/>
    <n v="12219"/>
    <x v="1"/>
    <n v="272"/>
    <x v="1"/>
    <s v="USD"/>
    <n v="1310187600"/>
    <n v="1311397200"/>
    <b v="0"/>
    <b v="1"/>
    <s v="film &amp; video/documentary"/>
    <m/>
    <x v="4"/>
    <s v="documentary"/>
  </r>
  <r>
    <n v="666"/>
    <s v="York, Barr and Grant"/>
    <s v="Cloned bottom-line success"/>
    <n v="3100"/>
    <n v="1985"/>
    <x v="3"/>
    <n v="25"/>
    <x v="1"/>
    <s v="USD"/>
    <n v="1377838800"/>
    <n v="1378357200"/>
    <b v="0"/>
    <b v="1"/>
    <s v="theater/plays"/>
    <m/>
    <x v="3"/>
    <s v="plays"/>
  </r>
  <r>
    <n v="667"/>
    <s v="Little Ltd"/>
    <s v="Decentralized bandwidth-monitored ability"/>
    <n v="6900"/>
    <n v="12155"/>
    <x v="1"/>
    <n v="419"/>
    <x v="1"/>
    <s v="USD"/>
    <n v="1410325200"/>
    <n v="1411102800"/>
    <b v="0"/>
    <b v="0"/>
    <s v="journalism/audio"/>
    <m/>
    <x v="8"/>
    <s v="audio"/>
  </r>
  <r>
    <n v="668"/>
    <s v="Brown and Sons"/>
    <s v="Programmable leadingedge budgetary management"/>
    <n v="27500"/>
    <n v="5593"/>
    <x v="0"/>
    <n v="76"/>
    <x v="1"/>
    <s v="USD"/>
    <n v="1343797200"/>
    <n v="1344834000"/>
    <b v="0"/>
    <b v="0"/>
    <s v="theater/plays"/>
    <m/>
    <x v="3"/>
    <s v="plays"/>
  </r>
  <r>
    <n v="669"/>
    <s v="Payne, Garrett and Thomas"/>
    <s v="Upgradable bi-directional concept"/>
    <n v="48800"/>
    <n v="175020"/>
    <x v="1"/>
    <n v="1621"/>
    <x v="6"/>
    <s v="EUR"/>
    <n v="1498453200"/>
    <n v="1499230800"/>
    <b v="0"/>
    <b v="0"/>
    <s v="theater/plays"/>
    <m/>
    <x v="3"/>
    <s v="plays"/>
  </r>
  <r>
    <n v="670"/>
    <s v="Robinson Group"/>
    <s v="Re-contextualized homogeneous flexibility"/>
    <n v="16200"/>
    <n v="75955"/>
    <x v="1"/>
    <n v="1101"/>
    <x v="1"/>
    <s v="USD"/>
    <n v="1456380000"/>
    <n v="1457416800"/>
    <b v="0"/>
    <b v="0"/>
    <s v="music/indie rock"/>
    <m/>
    <x v="1"/>
    <s v="indie rock"/>
  </r>
  <r>
    <n v="671"/>
    <s v="Robinson-Kelly"/>
    <s v="Monitored bi-directional standardization"/>
    <n v="97600"/>
    <n v="119127"/>
    <x v="1"/>
    <n v="1073"/>
    <x v="1"/>
    <s v="USD"/>
    <n v="1280552400"/>
    <n v="1280898000"/>
    <b v="0"/>
    <b v="1"/>
    <s v="theater/plays"/>
    <m/>
    <x v="3"/>
    <s v="plays"/>
  </r>
  <r>
    <n v="672"/>
    <s v="Kelly-Colon"/>
    <s v="Stand-alone grid-enabled leverage"/>
    <n v="197900"/>
    <n v="110689"/>
    <x v="0"/>
    <n v="4428"/>
    <x v="2"/>
    <s v="AUD"/>
    <n v="1521608400"/>
    <n v="1522472400"/>
    <b v="0"/>
    <b v="0"/>
    <s v="theater/plays"/>
    <m/>
    <x v="3"/>
    <s v="plays"/>
  </r>
  <r>
    <n v="673"/>
    <s v="Turner, Scott and Gentry"/>
    <s v="Assimilated regional groupware"/>
    <n v="5600"/>
    <n v="2445"/>
    <x v="0"/>
    <n v="58"/>
    <x v="6"/>
    <s v="EUR"/>
    <n v="1460696400"/>
    <n v="1462510800"/>
    <b v="0"/>
    <b v="0"/>
    <s v="music/indie rock"/>
    <m/>
    <x v="1"/>
    <s v="indie rock"/>
  </r>
  <r>
    <n v="674"/>
    <s v="Sanchez Ltd"/>
    <s v="Up-sized 24hour instruction set"/>
    <n v="170700"/>
    <n v="57250"/>
    <x v="3"/>
    <n v="1218"/>
    <x v="1"/>
    <s v="USD"/>
    <n v="1313730000"/>
    <n v="1317790800"/>
    <b v="0"/>
    <b v="0"/>
    <s v="photography/photography books"/>
    <m/>
    <x v="7"/>
    <s v="photography books"/>
  </r>
  <r>
    <n v="675"/>
    <s v="Giles-Smith"/>
    <s v="Right-sized web-enabled intranet"/>
    <n v="9700"/>
    <n v="11929"/>
    <x v="1"/>
    <n v="331"/>
    <x v="1"/>
    <s v="USD"/>
    <n v="1568178000"/>
    <n v="1568782800"/>
    <b v="0"/>
    <b v="0"/>
    <s v="journalism/audio"/>
    <m/>
    <x v="8"/>
    <s v="audio"/>
  </r>
  <r>
    <n v="676"/>
    <s v="Thompson-Moreno"/>
    <s v="Expanded needs-based orchestration"/>
    <n v="62300"/>
    <n v="118214"/>
    <x v="1"/>
    <n v="1170"/>
    <x v="1"/>
    <s v="USD"/>
    <n v="1348635600"/>
    <n v="1349413200"/>
    <b v="0"/>
    <b v="0"/>
    <s v="photography/photography books"/>
    <m/>
    <x v="7"/>
    <s v="photography books"/>
  </r>
  <r>
    <n v="677"/>
    <s v="Murphy-Fox"/>
    <s v="Organic system-worthy orchestration"/>
    <n v="5300"/>
    <n v="4432"/>
    <x v="0"/>
    <n v="111"/>
    <x v="1"/>
    <s v="USD"/>
    <n v="1468126800"/>
    <n v="1472446800"/>
    <b v="0"/>
    <b v="0"/>
    <s v="publishing/fiction"/>
    <m/>
    <x v="5"/>
    <s v="fiction"/>
  </r>
  <r>
    <n v="678"/>
    <s v="Rodriguez-Patterson"/>
    <s v="Inverse static standardization"/>
    <n v="99500"/>
    <n v="17879"/>
    <x v="3"/>
    <n v="215"/>
    <x v="1"/>
    <s v="USD"/>
    <n v="1547877600"/>
    <n v="1548050400"/>
    <b v="0"/>
    <b v="0"/>
    <s v="film &amp; video/drama"/>
    <m/>
    <x v="4"/>
    <s v="drama"/>
  </r>
  <r>
    <n v="679"/>
    <s v="Davis Ltd"/>
    <s v="Synchronized motivating solution"/>
    <n v="1400"/>
    <n v="14511"/>
    <x v="1"/>
    <n v="363"/>
    <x v="1"/>
    <s v="USD"/>
    <n v="1571374800"/>
    <n v="1571806800"/>
    <b v="0"/>
    <b v="1"/>
    <s v="food/food trucks"/>
    <m/>
    <x v="0"/>
    <s v="food trucks"/>
  </r>
  <r>
    <n v="680"/>
    <s v="Nelson-Valdez"/>
    <s v="Open-source 4thgeneration open system"/>
    <n v="145600"/>
    <n v="141822"/>
    <x v="0"/>
    <n v="2955"/>
    <x v="1"/>
    <s v="USD"/>
    <n v="1576303200"/>
    <n v="1576476000"/>
    <b v="0"/>
    <b v="1"/>
    <s v="games/mobile games"/>
    <m/>
    <x v="6"/>
    <s v="mobile games"/>
  </r>
  <r>
    <n v="681"/>
    <s v="Kelly PLC"/>
    <s v="Decentralized context-sensitive superstructure"/>
    <n v="184100"/>
    <n v="159037"/>
    <x v="0"/>
    <n v="1657"/>
    <x v="1"/>
    <s v="USD"/>
    <n v="1324447200"/>
    <n v="1324965600"/>
    <b v="0"/>
    <b v="0"/>
    <s v="theater/plays"/>
    <m/>
    <x v="3"/>
    <s v="plays"/>
  </r>
  <r>
    <n v="682"/>
    <s v="Nguyen and Sons"/>
    <s v="Compatible 5thgeneration concept"/>
    <n v="5400"/>
    <n v="8109"/>
    <x v="1"/>
    <n v="103"/>
    <x v="1"/>
    <s v="USD"/>
    <n v="1386741600"/>
    <n v="1387519200"/>
    <b v="0"/>
    <b v="0"/>
    <s v="theater/plays"/>
    <m/>
    <x v="3"/>
    <s v="plays"/>
  </r>
  <r>
    <n v="683"/>
    <s v="Jones PLC"/>
    <s v="Virtual systemic intranet"/>
    <n v="2300"/>
    <n v="8244"/>
    <x v="1"/>
    <n v="147"/>
    <x v="1"/>
    <s v="USD"/>
    <n v="1537074000"/>
    <n v="1537246800"/>
    <b v="0"/>
    <b v="0"/>
    <s v="theater/plays"/>
    <m/>
    <x v="3"/>
    <s v="plays"/>
  </r>
  <r>
    <n v="684"/>
    <s v="Gilmore LLC"/>
    <s v="Optimized systemic algorithm"/>
    <n v="1400"/>
    <n v="7600"/>
    <x v="1"/>
    <n v="110"/>
    <x v="0"/>
    <s v="CAD"/>
    <n v="1277787600"/>
    <n v="1279515600"/>
    <b v="0"/>
    <b v="0"/>
    <s v="publishing/nonfiction"/>
    <m/>
    <x v="5"/>
    <s v="nonfiction"/>
  </r>
  <r>
    <n v="685"/>
    <s v="Lee-Cobb"/>
    <s v="Customizable homogeneous firmware"/>
    <n v="140000"/>
    <n v="94501"/>
    <x v="0"/>
    <n v="926"/>
    <x v="0"/>
    <s v="CAD"/>
    <n v="1440306000"/>
    <n v="1442379600"/>
    <b v="0"/>
    <b v="0"/>
    <s v="theater/plays"/>
    <m/>
    <x v="3"/>
    <s v="plays"/>
  </r>
  <r>
    <n v="686"/>
    <s v="Jones, Wiley and Robbins"/>
    <s v="Front-line cohesive extranet"/>
    <n v="7500"/>
    <n v="14381"/>
    <x v="1"/>
    <n v="134"/>
    <x v="1"/>
    <s v="USD"/>
    <n v="1522126800"/>
    <n v="1523077200"/>
    <b v="0"/>
    <b v="0"/>
    <s v="technology/wearables"/>
    <m/>
    <x v="2"/>
    <s v="wearables"/>
  </r>
  <r>
    <n v="687"/>
    <s v="Martin, Gates and Holt"/>
    <s v="Distributed holistic neural-net"/>
    <n v="1500"/>
    <n v="13980"/>
    <x v="1"/>
    <n v="269"/>
    <x v="1"/>
    <s v="USD"/>
    <n v="1489298400"/>
    <n v="1489554000"/>
    <b v="0"/>
    <b v="0"/>
    <s v="theater/plays"/>
    <m/>
    <x v="3"/>
    <s v="plays"/>
  </r>
  <r>
    <n v="688"/>
    <s v="Bowen, Davies and Burns"/>
    <s v="Devolved client-server monitoring"/>
    <n v="2900"/>
    <n v="12449"/>
    <x v="1"/>
    <n v="175"/>
    <x v="1"/>
    <s v="USD"/>
    <n v="1547100000"/>
    <n v="1548482400"/>
    <b v="0"/>
    <b v="1"/>
    <s v="film &amp; video/television"/>
    <m/>
    <x v="4"/>
    <s v="television"/>
  </r>
  <r>
    <n v="689"/>
    <s v="Nguyen Inc"/>
    <s v="Seamless directional capacity"/>
    <n v="7300"/>
    <n v="7348"/>
    <x v="1"/>
    <n v="69"/>
    <x v="1"/>
    <s v="USD"/>
    <n v="1383022800"/>
    <n v="1384063200"/>
    <b v="0"/>
    <b v="0"/>
    <s v="technology/web"/>
    <m/>
    <x v="2"/>
    <s v="web"/>
  </r>
  <r>
    <n v="690"/>
    <s v="Walsh-Watts"/>
    <s v="Polarized actuating implementation"/>
    <n v="3600"/>
    <n v="8158"/>
    <x v="1"/>
    <n v="190"/>
    <x v="1"/>
    <s v="USD"/>
    <n v="1322373600"/>
    <n v="1322892000"/>
    <b v="0"/>
    <b v="1"/>
    <s v="film &amp; video/documentary"/>
    <m/>
    <x v="4"/>
    <s v="documentary"/>
  </r>
  <r>
    <n v="691"/>
    <s v="Ray, Li and Li"/>
    <s v="Front-line disintermediate hub"/>
    <n v="5000"/>
    <n v="7119"/>
    <x v="1"/>
    <n v="237"/>
    <x v="1"/>
    <s v="USD"/>
    <n v="1349240400"/>
    <n v="1350709200"/>
    <b v="1"/>
    <b v="1"/>
    <s v="film &amp; video/documentary"/>
    <m/>
    <x v="4"/>
    <s v="documentary"/>
  </r>
  <r>
    <n v="692"/>
    <s v="Murray Ltd"/>
    <s v="Decentralized 4thgeneration challenge"/>
    <n v="6000"/>
    <n v="5438"/>
    <x v="0"/>
    <n v="77"/>
    <x v="4"/>
    <s v="GBP"/>
    <n v="1562648400"/>
    <n v="1564203600"/>
    <b v="0"/>
    <b v="0"/>
    <s v="music/rock"/>
    <m/>
    <x v="1"/>
    <s v="rock"/>
  </r>
  <r>
    <n v="693"/>
    <s v="Bradford-Silva"/>
    <s v="Reverse-engineered composite hierarchy"/>
    <n v="180400"/>
    <n v="115396"/>
    <x v="0"/>
    <n v="1748"/>
    <x v="1"/>
    <s v="USD"/>
    <n v="1508216400"/>
    <n v="1509685200"/>
    <b v="0"/>
    <b v="0"/>
    <s v="theater/plays"/>
    <m/>
    <x v="3"/>
    <s v="plays"/>
  </r>
  <r>
    <n v="694"/>
    <s v="Mora-Bradley"/>
    <s v="Programmable tangible ability"/>
    <n v="9100"/>
    <n v="7656"/>
    <x v="0"/>
    <n v="79"/>
    <x v="1"/>
    <s v="USD"/>
    <n v="1511762400"/>
    <n v="1514959200"/>
    <b v="0"/>
    <b v="0"/>
    <s v="theater/plays"/>
    <m/>
    <x v="3"/>
    <s v="plays"/>
  </r>
  <r>
    <n v="695"/>
    <s v="Cardenas, Thompson and Carey"/>
    <s v="Configurable full-range emulation"/>
    <n v="9200"/>
    <n v="12322"/>
    <x v="1"/>
    <n v="196"/>
    <x v="6"/>
    <s v="EUR"/>
    <n v="1447480800"/>
    <n v="1448863200"/>
    <b v="1"/>
    <b v="0"/>
    <s v="music/rock"/>
    <m/>
    <x v="1"/>
    <s v="rock"/>
  </r>
  <r>
    <n v="696"/>
    <s v="Lopez, Reid and Johnson"/>
    <s v="Total real-time hardware"/>
    <n v="164100"/>
    <n v="96888"/>
    <x v="0"/>
    <n v="889"/>
    <x v="1"/>
    <s v="USD"/>
    <n v="1429506000"/>
    <n v="1429592400"/>
    <b v="0"/>
    <b v="1"/>
    <s v="theater/plays"/>
    <m/>
    <x v="3"/>
    <s v="plays"/>
  </r>
  <r>
    <n v="697"/>
    <s v="Fox-Williams"/>
    <s v="Profound system-worthy functionalities"/>
    <n v="128900"/>
    <n v="196960"/>
    <x v="1"/>
    <n v="7295"/>
    <x v="1"/>
    <s v="USD"/>
    <n v="1522472400"/>
    <n v="1522645200"/>
    <b v="0"/>
    <b v="0"/>
    <s v="music/electric music"/>
    <m/>
    <x v="1"/>
    <s v="electric music"/>
  </r>
  <r>
    <n v="698"/>
    <s v="Taylor, Wood and Taylor"/>
    <s v="Cloned hybrid focus group"/>
    <n v="42100"/>
    <n v="188057"/>
    <x v="1"/>
    <n v="2893"/>
    <x v="0"/>
    <s v="CAD"/>
    <n v="1322114400"/>
    <n v="1323324000"/>
    <b v="0"/>
    <b v="0"/>
    <s v="technology/wearables"/>
    <m/>
    <x v="2"/>
    <s v="wearables"/>
  </r>
  <r>
    <n v="699"/>
    <s v="King Inc"/>
    <s v="Ergonomic dedicated focus group"/>
    <n v="7400"/>
    <n v="6245"/>
    <x v="0"/>
    <n v="56"/>
    <x v="1"/>
    <s v="USD"/>
    <n v="1561438800"/>
    <n v="1561525200"/>
    <b v="0"/>
    <b v="0"/>
    <s v="film &amp; video/drama"/>
    <m/>
    <x v="4"/>
    <s v="drama"/>
  </r>
  <r>
    <n v="700"/>
    <s v="Cole, Petty and Cameron"/>
    <s v="Realigned zero administration paradigm"/>
    <n v="100"/>
    <n v="3"/>
    <x v="0"/>
    <n v="1"/>
    <x v="1"/>
    <s v="USD"/>
    <n v="1264399200"/>
    <n v="1265695200"/>
    <b v="0"/>
    <b v="0"/>
    <s v="technology/wearables"/>
    <m/>
    <x v="2"/>
    <s v="wearables"/>
  </r>
  <r>
    <n v="701"/>
    <s v="Mcclain LLC"/>
    <s v="Open-source multi-tasking methodology"/>
    <n v="52000"/>
    <n v="91014"/>
    <x v="1"/>
    <n v="820"/>
    <x v="1"/>
    <s v="USD"/>
    <n v="1301202000"/>
    <n v="1301806800"/>
    <b v="1"/>
    <b v="0"/>
    <s v="theater/plays"/>
    <m/>
    <x v="3"/>
    <s v="plays"/>
  </r>
  <r>
    <n v="702"/>
    <s v="Sims-Gross"/>
    <s v="Object-based attitude-oriented analyzer"/>
    <n v="8700"/>
    <n v="4710"/>
    <x v="0"/>
    <n v="83"/>
    <x v="1"/>
    <s v="USD"/>
    <n v="1374469200"/>
    <n v="1374901200"/>
    <b v="0"/>
    <b v="0"/>
    <s v="technology/wearables"/>
    <m/>
    <x v="2"/>
    <s v="wearables"/>
  </r>
  <r>
    <n v="703"/>
    <s v="Perez Group"/>
    <s v="Cross-platform tertiary hub"/>
    <n v="63400"/>
    <n v="197728"/>
    <x v="1"/>
    <n v="2038"/>
    <x v="1"/>
    <s v="USD"/>
    <n v="1334984400"/>
    <n v="1336453200"/>
    <b v="1"/>
    <b v="1"/>
    <s v="publishing/translations"/>
    <m/>
    <x v="5"/>
    <s v="translations"/>
  </r>
  <r>
    <n v="704"/>
    <s v="Haynes-Williams"/>
    <s v="Seamless clear-thinking artificial intelligence"/>
    <n v="8700"/>
    <n v="10682"/>
    <x v="1"/>
    <n v="116"/>
    <x v="1"/>
    <s v="USD"/>
    <n v="1467608400"/>
    <n v="1468904400"/>
    <b v="0"/>
    <b v="0"/>
    <s v="film &amp; video/animation"/>
    <m/>
    <x v="4"/>
    <s v="animation"/>
  </r>
  <r>
    <n v="705"/>
    <s v="Ford LLC"/>
    <s v="Centralized tangible success"/>
    <n v="169700"/>
    <n v="168048"/>
    <x v="0"/>
    <n v="2025"/>
    <x v="4"/>
    <s v="GBP"/>
    <n v="1386741600"/>
    <n v="1387087200"/>
    <b v="0"/>
    <b v="0"/>
    <s v="publishing/nonfiction"/>
    <m/>
    <x v="5"/>
    <s v="nonfiction"/>
  </r>
  <r>
    <n v="706"/>
    <s v="Moreno Ltd"/>
    <s v="Customer-focused multimedia methodology"/>
    <n v="108400"/>
    <n v="138586"/>
    <x v="1"/>
    <n v="1345"/>
    <x v="2"/>
    <s v="AUD"/>
    <n v="1546754400"/>
    <n v="1547445600"/>
    <b v="0"/>
    <b v="1"/>
    <s v="technology/web"/>
    <m/>
    <x v="2"/>
    <s v="web"/>
  </r>
  <r>
    <n v="707"/>
    <s v="Moore, Cook and Wright"/>
    <s v="Visionary maximized Local Area Network"/>
    <n v="7300"/>
    <n v="11579"/>
    <x v="1"/>
    <n v="168"/>
    <x v="1"/>
    <s v="USD"/>
    <n v="1544248800"/>
    <n v="1547359200"/>
    <b v="0"/>
    <b v="0"/>
    <s v="film &amp; video/drama"/>
    <m/>
    <x v="4"/>
    <s v="drama"/>
  </r>
  <r>
    <n v="708"/>
    <s v="Ortega LLC"/>
    <s v="Secured bifurcated intranet"/>
    <n v="1700"/>
    <n v="12020"/>
    <x v="1"/>
    <n v="137"/>
    <x v="5"/>
    <s v="CHF"/>
    <n v="1495429200"/>
    <n v="1496293200"/>
    <b v="0"/>
    <b v="0"/>
    <s v="theater/plays"/>
    <m/>
    <x v="3"/>
    <s v="plays"/>
  </r>
  <r>
    <n v="709"/>
    <s v="Silva, Walker and Martin"/>
    <s v="Grass-roots 4thgeneration product"/>
    <n v="9800"/>
    <n v="13954"/>
    <x v="1"/>
    <n v="186"/>
    <x v="6"/>
    <s v="EUR"/>
    <n v="1334811600"/>
    <n v="1335416400"/>
    <b v="0"/>
    <b v="0"/>
    <s v="theater/plays"/>
    <m/>
    <x v="3"/>
    <s v="plays"/>
  </r>
  <r>
    <n v="710"/>
    <s v="Huynh, Gallegos and Mills"/>
    <s v="Reduced next generation info-mediaries"/>
    <n v="4300"/>
    <n v="6358"/>
    <x v="1"/>
    <n v="125"/>
    <x v="1"/>
    <s v="USD"/>
    <n v="1531544400"/>
    <n v="1532149200"/>
    <b v="0"/>
    <b v="1"/>
    <s v="theater/plays"/>
    <m/>
    <x v="3"/>
    <s v="plays"/>
  </r>
  <r>
    <n v="711"/>
    <s v="Anderson LLC"/>
    <s v="Customizable full-range artificial intelligence"/>
    <n v="6200"/>
    <n v="1260"/>
    <x v="0"/>
    <n v="14"/>
    <x v="6"/>
    <s v="EUR"/>
    <n v="1453615200"/>
    <n v="1453788000"/>
    <b v="1"/>
    <b v="1"/>
    <s v="theater/plays"/>
    <m/>
    <x v="3"/>
    <s v="plays"/>
  </r>
  <r>
    <n v="712"/>
    <s v="Garza-Bryant"/>
    <s v="Programmable leadingedge contingency"/>
    <n v="800"/>
    <n v="14725"/>
    <x v="1"/>
    <n v="202"/>
    <x v="1"/>
    <s v="USD"/>
    <n v="1467954000"/>
    <n v="1471496400"/>
    <b v="0"/>
    <b v="0"/>
    <s v="theater/plays"/>
    <m/>
    <x v="3"/>
    <s v="plays"/>
  </r>
  <r>
    <n v="713"/>
    <s v="Mays LLC"/>
    <s v="Multi-layered global groupware"/>
    <n v="6900"/>
    <n v="11174"/>
    <x v="1"/>
    <n v="103"/>
    <x v="1"/>
    <s v="USD"/>
    <n v="1471842000"/>
    <n v="1472878800"/>
    <b v="0"/>
    <b v="0"/>
    <s v="publishing/radio &amp; podcasts"/>
    <m/>
    <x v="5"/>
    <s v="radio &amp; podcasts"/>
  </r>
  <r>
    <n v="714"/>
    <s v="Evans-Jones"/>
    <s v="Switchable methodical superstructure"/>
    <n v="38500"/>
    <n v="182036"/>
    <x v="1"/>
    <n v="1785"/>
    <x v="1"/>
    <s v="USD"/>
    <n v="1408424400"/>
    <n v="1408510800"/>
    <b v="0"/>
    <b v="0"/>
    <s v="music/rock"/>
    <m/>
    <x v="1"/>
    <s v="rock"/>
  </r>
  <r>
    <n v="715"/>
    <s v="Fischer, Torres and Walker"/>
    <s v="Expanded even-keeled portal"/>
    <n v="118000"/>
    <n v="28870"/>
    <x v="0"/>
    <n v="656"/>
    <x v="1"/>
    <s v="USD"/>
    <n v="1281157200"/>
    <n v="1281589200"/>
    <b v="0"/>
    <b v="0"/>
    <s v="games/mobile games"/>
    <m/>
    <x v="6"/>
    <s v="mobile games"/>
  </r>
  <r>
    <n v="716"/>
    <s v="Tapia, Kramer and Hicks"/>
    <s v="Advanced modular moderator"/>
    <n v="2000"/>
    <n v="10353"/>
    <x v="1"/>
    <n v="157"/>
    <x v="1"/>
    <s v="USD"/>
    <n v="1373432400"/>
    <n v="1375851600"/>
    <b v="0"/>
    <b v="1"/>
    <s v="theater/plays"/>
    <m/>
    <x v="3"/>
    <s v="plays"/>
  </r>
  <r>
    <n v="717"/>
    <s v="Barnes, Wilcox and Riley"/>
    <s v="Reverse-engineered well-modulated ability"/>
    <n v="5600"/>
    <n v="13868"/>
    <x v="1"/>
    <n v="555"/>
    <x v="1"/>
    <s v="USD"/>
    <n v="1313989200"/>
    <n v="1315803600"/>
    <b v="0"/>
    <b v="0"/>
    <s v="film &amp; video/documentary"/>
    <m/>
    <x v="4"/>
    <s v="documentary"/>
  </r>
  <r>
    <n v="718"/>
    <s v="Reyes PLC"/>
    <s v="Expanded optimal pricing structure"/>
    <n v="8300"/>
    <n v="8317"/>
    <x v="1"/>
    <n v="297"/>
    <x v="1"/>
    <s v="USD"/>
    <n v="1371445200"/>
    <n v="1373691600"/>
    <b v="0"/>
    <b v="0"/>
    <s v="technology/wearables"/>
    <m/>
    <x v="2"/>
    <s v="wearables"/>
  </r>
  <r>
    <n v="719"/>
    <s v="Pace, Simpson and Watkins"/>
    <s v="Down-sized uniform ability"/>
    <n v="6900"/>
    <n v="10557"/>
    <x v="1"/>
    <n v="123"/>
    <x v="1"/>
    <s v="USD"/>
    <n v="1338267600"/>
    <n v="1339218000"/>
    <b v="0"/>
    <b v="0"/>
    <s v="publishing/fiction"/>
    <m/>
    <x v="5"/>
    <s v="fiction"/>
  </r>
  <r>
    <n v="720"/>
    <s v="Valenzuela, Davidson and Castro"/>
    <s v="Multi-layered upward-trending conglomeration"/>
    <n v="8700"/>
    <n v="3227"/>
    <x v="3"/>
    <n v="38"/>
    <x v="3"/>
    <s v="DKK"/>
    <n v="1519192800"/>
    <n v="1520402400"/>
    <b v="0"/>
    <b v="1"/>
    <s v="theater/plays"/>
    <m/>
    <x v="3"/>
    <s v="plays"/>
  </r>
  <r>
    <n v="721"/>
    <s v="Dominguez-Owens"/>
    <s v="Open-architected systematic intranet"/>
    <n v="123600"/>
    <n v="5429"/>
    <x v="3"/>
    <n v="60"/>
    <x v="1"/>
    <s v="USD"/>
    <n v="1522818000"/>
    <n v="1523336400"/>
    <b v="0"/>
    <b v="0"/>
    <s v="music/rock"/>
    <m/>
    <x v="1"/>
    <s v="rock"/>
  </r>
  <r>
    <n v="722"/>
    <s v="Thomas-Simmons"/>
    <s v="Proactive 24hour frame"/>
    <n v="48500"/>
    <n v="75906"/>
    <x v="1"/>
    <n v="3036"/>
    <x v="1"/>
    <s v="USD"/>
    <n v="1509948000"/>
    <n v="1512280800"/>
    <b v="0"/>
    <b v="0"/>
    <s v="film &amp; video/documentary"/>
    <m/>
    <x v="4"/>
    <s v="documentary"/>
  </r>
  <r>
    <n v="723"/>
    <s v="Beck-Knight"/>
    <s v="Exclusive fresh-thinking model"/>
    <n v="4900"/>
    <n v="13250"/>
    <x v="1"/>
    <n v="144"/>
    <x v="2"/>
    <s v="AUD"/>
    <n v="1456898400"/>
    <n v="1458709200"/>
    <b v="0"/>
    <b v="0"/>
    <s v="theater/plays"/>
    <m/>
    <x v="3"/>
    <s v="plays"/>
  </r>
  <r>
    <n v="724"/>
    <s v="Mccoy Ltd"/>
    <s v="Business-focused encompassing intranet"/>
    <n v="8400"/>
    <n v="11261"/>
    <x v="1"/>
    <n v="121"/>
    <x v="4"/>
    <s v="GBP"/>
    <n v="1413954000"/>
    <n v="1414126800"/>
    <b v="0"/>
    <b v="1"/>
    <s v="theater/plays"/>
    <m/>
    <x v="3"/>
    <s v="plays"/>
  </r>
  <r>
    <n v="725"/>
    <s v="Dawson-Tyler"/>
    <s v="Optional 6thgeneration access"/>
    <n v="193200"/>
    <n v="97369"/>
    <x v="0"/>
    <n v="1596"/>
    <x v="1"/>
    <s v="USD"/>
    <n v="1416031200"/>
    <n v="1416204000"/>
    <b v="0"/>
    <b v="0"/>
    <s v="games/mobile games"/>
    <m/>
    <x v="6"/>
    <s v="mobile games"/>
  </r>
  <r>
    <n v="726"/>
    <s v="Johns-Thomas"/>
    <s v="Realigned web-enabled functionalities"/>
    <n v="54300"/>
    <n v="48227"/>
    <x v="3"/>
    <n v="524"/>
    <x v="1"/>
    <s v="USD"/>
    <n v="1287982800"/>
    <n v="1288501200"/>
    <b v="0"/>
    <b v="1"/>
    <s v="theater/plays"/>
    <m/>
    <x v="3"/>
    <s v="plays"/>
  </r>
  <r>
    <n v="727"/>
    <s v="Quinn, Cruz and Schmidt"/>
    <s v="Enterprise-wide multimedia software"/>
    <n v="8900"/>
    <n v="14685"/>
    <x v="1"/>
    <n v="181"/>
    <x v="1"/>
    <s v="USD"/>
    <n v="1547964000"/>
    <n v="1552971600"/>
    <b v="0"/>
    <b v="0"/>
    <s v="technology/web"/>
    <m/>
    <x v="2"/>
    <s v="web"/>
  </r>
  <r>
    <n v="728"/>
    <s v="Stewart Inc"/>
    <s v="Versatile mission-critical knowledgebase"/>
    <n v="4200"/>
    <n v="735"/>
    <x v="0"/>
    <n v="10"/>
    <x v="1"/>
    <s v="USD"/>
    <n v="1464152400"/>
    <n v="1465102800"/>
    <b v="0"/>
    <b v="0"/>
    <s v="theater/plays"/>
    <m/>
    <x v="3"/>
    <s v="plays"/>
  </r>
  <r>
    <n v="729"/>
    <s v="Moore Group"/>
    <s v="Multi-lateral object-oriented open system"/>
    <n v="5600"/>
    <n v="10397"/>
    <x v="1"/>
    <n v="122"/>
    <x v="1"/>
    <s v="USD"/>
    <n v="1359957600"/>
    <n v="1360130400"/>
    <b v="0"/>
    <b v="0"/>
    <s v="film &amp; video/drama"/>
    <m/>
    <x v="4"/>
    <s v="drama"/>
  </r>
  <r>
    <n v="730"/>
    <s v="Carson PLC"/>
    <s v="Visionary system-worthy attitude"/>
    <n v="28800"/>
    <n v="118847"/>
    <x v="1"/>
    <n v="1071"/>
    <x v="0"/>
    <s v="CAD"/>
    <n v="1432357200"/>
    <n v="1432875600"/>
    <b v="0"/>
    <b v="0"/>
    <s v="technology/wearables"/>
    <m/>
    <x v="2"/>
    <s v="wearables"/>
  </r>
  <r>
    <n v="731"/>
    <s v="Cruz, Hall and Mason"/>
    <s v="Synergized content-based hierarchy"/>
    <n v="8000"/>
    <n v="7220"/>
    <x v="3"/>
    <n v="219"/>
    <x v="1"/>
    <s v="USD"/>
    <n v="1500786000"/>
    <n v="1500872400"/>
    <b v="0"/>
    <b v="0"/>
    <s v="technology/web"/>
    <m/>
    <x v="2"/>
    <s v="web"/>
  </r>
  <r>
    <n v="732"/>
    <s v="Glass, Baker and Jones"/>
    <s v="Business-focused 24hour access"/>
    <n v="117000"/>
    <n v="107622"/>
    <x v="0"/>
    <n v="1121"/>
    <x v="1"/>
    <s v="USD"/>
    <n v="1490158800"/>
    <n v="1492146000"/>
    <b v="0"/>
    <b v="1"/>
    <s v="music/rock"/>
    <m/>
    <x v="1"/>
    <s v="rock"/>
  </r>
  <r>
    <n v="733"/>
    <s v="Marquez-Kerr"/>
    <s v="Automated hybrid orchestration"/>
    <n v="15800"/>
    <n v="83267"/>
    <x v="1"/>
    <n v="980"/>
    <x v="1"/>
    <s v="USD"/>
    <n v="1406178000"/>
    <n v="1407301200"/>
    <b v="0"/>
    <b v="0"/>
    <s v="music/metal"/>
    <m/>
    <x v="1"/>
    <s v="metal"/>
  </r>
  <r>
    <n v="734"/>
    <s v="Stone PLC"/>
    <s v="Exclusive 5thgeneration leverage"/>
    <n v="4200"/>
    <n v="13404"/>
    <x v="1"/>
    <n v="536"/>
    <x v="1"/>
    <s v="USD"/>
    <n v="1485583200"/>
    <n v="1486620000"/>
    <b v="0"/>
    <b v="1"/>
    <s v="theater/plays"/>
    <m/>
    <x v="3"/>
    <s v="plays"/>
  </r>
  <r>
    <n v="735"/>
    <s v="Caldwell PLC"/>
    <s v="Grass-roots zero administration alliance"/>
    <n v="37100"/>
    <n v="131404"/>
    <x v="1"/>
    <n v="1991"/>
    <x v="1"/>
    <s v="USD"/>
    <n v="1459314000"/>
    <n v="1459918800"/>
    <b v="0"/>
    <b v="0"/>
    <s v="photography/photography books"/>
    <m/>
    <x v="7"/>
    <s v="photography books"/>
  </r>
  <r>
    <n v="736"/>
    <s v="Silva-Hawkins"/>
    <s v="Proactive heuristic orchestration"/>
    <n v="7700"/>
    <n v="2533"/>
    <x v="3"/>
    <n v="29"/>
    <x v="1"/>
    <s v="USD"/>
    <n v="1424412000"/>
    <n v="1424757600"/>
    <b v="0"/>
    <b v="0"/>
    <s v="publishing/nonfiction"/>
    <m/>
    <x v="5"/>
    <s v="nonfiction"/>
  </r>
  <r>
    <n v="737"/>
    <s v="Gardner Inc"/>
    <s v="Function-based systematic Graphical User Interface"/>
    <n v="3700"/>
    <n v="5028"/>
    <x v="1"/>
    <n v="180"/>
    <x v="1"/>
    <s v="USD"/>
    <n v="1478844000"/>
    <n v="1479880800"/>
    <b v="0"/>
    <b v="0"/>
    <s v="music/indie rock"/>
    <m/>
    <x v="1"/>
    <s v="indie rock"/>
  </r>
  <r>
    <n v="738"/>
    <s v="Garcia Group"/>
    <s v="Extended zero administration software"/>
    <n v="74700"/>
    <n v="1557"/>
    <x v="0"/>
    <n v="15"/>
    <x v="1"/>
    <s v="USD"/>
    <n v="1416117600"/>
    <n v="1418018400"/>
    <b v="0"/>
    <b v="1"/>
    <s v="theater/plays"/>
    <m/>
    <x v="3"/>
    <s v="plays"/>
  </r>
  <r>
    <n v="739"/>
    <s v="Meyer-Avila"/>
    <s v="Multi-tiered discrete support"/>
    <n v="10000"/>
    <n v="6100"/>
    <x v="0"/>
    <n v="191"/>
    <x v="1"/>
    <s v="USD"/>
    <n v="1340946000"/>
    <n v="1341032400"/>
    <b v="0"/>
    <b v="0"/>
    <s v="music/indie rock"/>
    <m/>
    <x v="1"/>
    <s v="indie rock"/>
  </r>
  <r>
    <n v="740"/>
    <s v="Nelson, Smith and Graham"/>
    <s v="Phased system-worthy conglomeration"/>
    <n v="5300"/>
    <n v="1592"/>
    <x v="0"/>
    <n v="16"/>
    <x v="1"/>
    <s v="USD"/>
    <n v="1486101600"/>
    <n v="1486360800"/>
    <b v="0"/>
    <b v="0"/>
    <s v="theater/plays"/>
    <m/>
    <x v="3"/>
    <s v="plays"/>
  </r>
  <r>
    <n v="741"/>
    <s v="Garcia Ltd"/>
    <s v="Balanced mobile alliance"/>
    <n v="1200"/>
    <n v="14150"/>
    <x v="1"/>
    <n v="130"/>
    <x v="1"/>
    <s v="USD"/>
    <n v="1274590800"/>
    <n v="1274677200"/>
    <b v="0"/>
    <b v="0"/>
    <s v="theater/plays"/>
    <m/>
    <x v="3"/>
    <s v="plays"/>
  </r>
  <r>
    <n v="742"/>
    <s v="West-Stevens"/>
    <s v="Reactive solution-oriented groupware"/>
    <n v="1200"/>
    <n v="13513"/>
    <x v="1"/>
    <n v="122"/>
    <x v="1"/>
    <s v="USD"/>
    <n v="1263880800"/>
    <n v="1267509600"/>
    <b v="0"/>
    <b v="0"/>
    <s v="music/electric music"/>
    <m/>
    <x v="1"/>
    <s v="electric music"/>
  </r>
  <r>
    <n v="743"/>
    <s v="Clark-Conrad"/>
    <s v="Exclusive bandwidth-monitored orchestration"/>
    <n v="3900"/>
    <n v="504"/>
    <x v="0"/>
    <n v="17"/>
    <x v="1"/>
    <s v="USD"/>
    <n v="1445403600"/>
    <n v="1445922000"/>
    <b v="0"/>
    <b v="1"/>
    <s v="theater/plays"/>
    <m/>
    <x v="3"/>
    <s v="plays"/>
  </r>
  <r>
    <n v="744"/>
    <s v="Fitzgerald Group"/>
    <s v="Intuitive exuding initiative"/>
    <n v="2000"/>
    <n v="14240"/>
    <x v="1"/>
    <n v="140"/>
    <x v="1"/>
    <s v="USD"/>
    <n v="1533877200"/>
    <n v="1534050000"/>
    <b v="0"/>
    <b v="1"/>
    <s v="theater/plays"/>
    <m/>
    <x v="3"/>
    <s v="plays"/>
  </r>
  <r>
    <n v="745"/>
    <s v="Hill, Mccann and Moore"/>
    <s v="Streamlined needs-based knowledge user"/>
    <n v="6900"/>
    <n v="2091"/>
    <x v="0"/>
    <n v="34"/>
    <x v="1"/>
    <s v="USD"/>
    <n v="1275195600"/>
    <n v="1277528400"/>
    <b v="0"/>
    <b v="0"/>
    <s v="technology/wearables"/>
    <m/>
    <x v="2"/>
    <s v="wearables"/>
  </r>
  <r>
    <n v="746"/>
    <s v="Edwards LLC"/>
    <s v="Automated system-worthy structure"/>
    <n v="55800"/>
    <n v="118580"/>
    <x v="1"/>
    <n v="3388"/>
    <x v="1"/>
    <s v="USD"/>
    <n v="1318136400"/>
    <n v="1318568400"/>
    <b v="0"/>
    <b v="0"/>
    <s v="technology/web"/>
    <m/>
    <x v="2"/>
    <s v="web"/>
  </r>
  <r>
    <n v="747"/>
    <s v="Greer and Sons"/>
    <s v="Secured clear-thinking intranet"/>
    <n v="4900"/>
    <n v="11214"/>
    <x v="1"/>
    <n v="280"/>
    <x v="1"/>
    <s v="USD"/>
    <n v="1283403600"/>
    <n v="1284354000"/>
    <b v="0"/>
    <b v="0"/>
    <s v="theater/plays"/>
    <m/>
    <x v="3"/>
    <s v="plays"/>
  </r>
  <r>
    <n v="748"/>
    <s v="Martinez PLC"/>
    <s v="Cloned actuating architecture"/>
    <n v="194900"/>
    <n v="68137"/>
    <x v="3"/>
    <n v="614"/>
    <x v="1"/>
    <s v="USD"/>
    <n v="1267423200"/>
    <n v="1269579600"/>
    <b v="0"/>
    <b v="1"/>
    <s v="film &amp; video/animation"/>
    <m/>
    <x v="4"/>
    <s v="animation"/>
  </r>
  <r>
    <n v="749"/>
    <s v="Hunter-Logan"/>
    <s v="Down-sized needs-based task-force"/>
    <n v="8600"/>
    <n v="13527"/>
    <x v="1"/>
    <n v="366"/>
    <x v="6"/>
    <s v="EUR"/>
    <n v="1412744400"/>
    <n v="1413781200"/>
    <b v="0"/>
    <b v="1"/>
    <s v="technology/wearables"/>
    <m/>
    <x v="2"/>
    <s v="wearables"/>
  </r>
  <r>
    <n v="750"/>
    <s v="Ramos and Sons"/>
    <s v="Extended responsive Internet solution"/>
    <n v="100"/>
    <n v="1"/>
    <x v="0"/>
    <n v="1"/>
    <x v="4"/>
    <s v="GBP"/>
    <n v="1277960400"/>
    <n v="1280120400"/>
    <b v="0"/>
    <b v="0"/>
    <s v="music/electric music"/>
    <m/>
    <x v="1"/>
    <s v="electric music"/>
  </r>
  <r>
    <n v="751"/>
    <s v="Lane-Barber"/>
    <s v="Universal value-added moderator"/>
    <n v="3600"/>
    <n v="8363"/>
    <x v="1"/>
    <n v="270"/>
    <x v="1"/>
    <s v="USD"/>
    <n v="1458190800"/>
    <n v="1459486800"/>
    <b v="1"/>
    <b v="1"/>
    <s v="publishing/nonfiction"/>
    <m/>
    <x v="5"/>
    <s v="nonfiction"/>
  </r>
  <r>
    <n v="752"/>
    <s v="Lowery Group"/>
    <s v="Sharable motivating emulation"/>
    <n v="5800"/>
    <n v="5362"/>
    <x v="3"/>
    <n v="114"/>
    <x v="1"/>
    <s v="USD"/>
    <n v="1280984400"/>
    <n v="1282539600"/>
    <b v="0"/>
    <b v="1"/>
    <s v="theater/plays"/>
    <m/>
    <x v="3"/>
    <s v="plays"/>
  </r>
  <r>
    <n v="753"/>
    <s v="Guerrero-Griffin"/>
    <s v="Networked web-enabled product"/>
    <n v="4700"/>
    <n v="12065"/>
    <x v="1"/>
    <n v="137"/>
    <x v="1"/>
    <s v="USD"/>
    <n v="1274590800"/>
    <n v="1275886800"/>
    <b v="0"/>
    <b v="0"/>
    <s v="photography/photography books"/>
    <m/>
    <x v="7"/>
    <s v="photography books"/>
  </r>
  <r>
    <n v="754"/>
    <s v="Perez, Reed and Lee"/>
    <s v="Advanced dedicated encoding"/>
    <n v="70400"/>
    <n v="118603"/>
    <x v="1"/>
    <n v="3205"/>
    <x v="1"/>
    <s v="USD"/>
    <n v="1351400400"/>
    <n v="1355983200"/>
    <b v="0"/>
    <b v="0"/>
    <s v="theater/plays"/>
    <m/>
    <x v="3"/>
    <s v="plays"/>
  </r>
  <r>
    <n v="755"/>
    <s v="Chen, Pollard and Clarke"/>
    <s v="Stand-alone multi-state project"/>
    <n v="4500"/>
    <n v="7496"/>
    <x v="1"/>
    <n v="288"/>
    <x v="3"/>
    <s v="DKK"/>
    <n v="1514354400"/>
    <n v="1515391200"/>
    <b v="0"/>
    <b v="1"/>
    <s v="theater/plays"/>
    <m/>
    <x v="3"/>
    <s v="plays"/>
  </r>
  <r>
    <n v="756"/>
    <s v="Serrano, Gallagher and Griffith"/>
    <s v="Customizable bi-directional monitoring"/>
    <n v="1300"/>
    <n v="10037"/>
    <x v="1"/>
    <n v="148"/>
    <x v="1"/>
    <s v="USD"/>
    <n v="1421733600"/>
    <n v="1422252000"/>
    <b v="0"/>
    <b v="0"/>
    <s v="theater/plays"/>
    <m/>
    <x v="3"/>
    <s v="plays"/>
  </r>
  <r>
    <n v="757"/>
    <s v="Callahan-Gilbert"/>
    <s v="Profit-focused motivating function"/>
    <n v="1400"/>
    <n v="5696"/>
    <x v="1"/>
    <n v="114"/>
    <x v="1"/>
    <s v="USD"/>
    <n v="1305176400"/>
    <n v="1305522000"/>
    <b v="0"/>
    <b v="0"/>
    <s v="film &amp; video/drama"/>
    <m/>
    <x v="4"/>
    <s v="drama"/>
  </r>
  <r>
    <n v="758"/>
    <s v="Logan-Miranda"/>
    <s v="Proactive systemic firmware"/>
    <n v="29600"/>
    <n v="167005"/>
    <x v="1"/>
    <n v="1518"/>
    <x v="0"/>
    <s v="CAD"/>
    <n v="1414126800"/>
    <n v="1414904400"/>
    <b v="0"/>
    <b v="0"/>
    <s v="music/rock"/>
    <m/>
    <x v="1"/>
    <s v="rock"/>
  </r>
  <r>
    <n v="759"/>
    <s v="Rodriguez PLC"/>
    <s v="Grass-roots upward-trending installation"/>
    <n v="167500"/>
    <n v="114615"/>
    <x v="0"/>
    <n v="1274"/>
    <x v="1"/>
    <s v="USD"/>
    <n v="1517810400"/>
    <n v="1520402400"/>
    <b v="0"/>
    <b v="0"/>
    <s v="music/electric music"/>
    <m/>
    <x v="1"/>
    <s v="electric music"/>
  </r>
  <r>
    <n v="760"/>
    <s v="Smith-Kennedy"/>
    <s v="Virtual heuristic hub"/>
    <n v="48300"/>
    <n v="16592"/>
    <x v="0"/>
    <n v="210"/>
    <x v="6"/>
    <s v="EUR"/>
    <n v="1564635600"/>
    <n v="1567141200"/>
    <b v="0"/>
    <b v="1"/>
    <s v="games/video games"/>
    <m/>
    <x v="6"/>
    <s v="video games"/>
  </r>
  <r>
    <n v="761"/>
    <s v="Mitchell-Lee"/>
    <s v="Customizable leadingedge model"/>
    <n v="2200"/>
    <n v="14420"/>
    <x v="1"/>
    <n v="166"/>
    <x v="1"/>
    <s v="USD"/>
    <n v="1500699600"/>
    <n v="1501131600"/>
    <b v="0"/>
    <b v="0"/>
    <s v="music/rock"/>
    <m/>
    <x v="1"/>
    <s v="rock"/>
  </r>
  <r>
    <n v="762"/>
    <s v="Davis Ltd"/>
    <s v="Upgradable uniform service-desk"/>
    <n v="3500"/>
    <n v="6204"/>
    <x v="1"/>
    <n v="100"/>
    <x v="2"/>
    <s v="AUD"/>
    <n v="1354082400"/>
    <n v="1355032800"/>
    <b v="0"/>
    <b v="0"/>
    <s v="music/jazz"/>
    <m/>
    <x v="1"/>
    <s v="jazz"/>
  </r>
  <r>
    <n v="763"/>
    <s v="Rowland PLC"/>
    <s v="Inverse client-driven product"/>
    <n v="5600"/>
    <n v="6338"/>
    <x v="1"/>
    <n v="235"/>
    <x v="1"/>
    <s v="USD"/>
    <n v="1336453200"/>
    <n v="1339477200"/>
    <b v="0"/>
    <b v="1"/>
    <s v="theater/plays"/>
    <m/>
    <x v="3"/>
    <s v="plays"/>
  </r>
  <r>
    <n v="764"/>
    <s v="Shaffer-Mason"/>
    <s v="Managed bandwidth-monitored system engine"/>
    <n v="1100"/>
    <n v="8010"/>
    <x v="1"/>
    <n v="148"/>
    <x v="1"/>
    <s v="USD"/>
    <n v="1305262800"/>
    <n v="1305954000"/>
    <b v="0"/>
    <b v="0"/>
    <s v="music/rock"/>
    <m/>
    <x v="1"/>
    <s v="rock"/>
  </r>
  <r>
    <n v="765"/>
    <s v="Matthews LLC"/>
    <s v="Advanced transitional help-desk"/>
    <n v="3900"/>
    <n v="8125"/>
    <x v="1"/>
    <n v="198"/>
    <x v="1"/>
    <s v="USD"/>
    <n v="1492232400"/>
    <n v="1494392400"/>
    <b v="1"/>
    <b v="1"/>
    <s v="music/indie rock"/>
    <m/>
    <x v="1"/>
    <s v="indie rock"/>
  </r>
  <r>
    <n v="766"/>
    <s v="Montgomery-Castro"/>
    <s v="De-engineered disintermediate encryption"/>
    <n v="43800"/>
    <n v="13653"/>
    <x v="0"/>
    <n v="248"/>
    <x v="2"/>
    <s v="AUD"/>
    <n v="1537333200"/>
    <n v="1537419600"/>
    <b v="0"/>
    <b v="0"/>
    <s v="film &amp; video/science fiction"/>
    <m/>
    <x v="4"/>
    <s v="science fiction"/>
  </r>
  <r>
    <n v="767"/>
    <s v="Hale, Pearson and Jenkins"/>
    <s v="Upgradable attitude-oriented project"/>
    <n v="97200"/>
    <n v="55372"/>
    <x v="0"/>
    <n v="513"/>
    <x v="1"/>
    <s v="USD"/>
    <n v="1444107600"/>
    <n v="1447999200"/>
    <b v="0"/>
    <b v="0"/>
    <s v="publishing/translations"/>
    <m/>
    <x v="5"/>
    <s v="translations"/>
  </r>
  <r>
    <n v="768"/>
    <s v="Ramirez-Calderon"/>
    <s v="Fundamental zero tolerance alliance"/>
    <n v="4800"/>
    <n v="11088"/>
    <x v="1"/>
    <n v="150"/>
    <x v="1"/>
    <s v="USD"/>
    <n v="1386741600"/>
    <n v="1388037600"/>
    <b v="0"/>
    <b v="0"/>
    <s v="theater/plays"/>
    <m/>
    <x v="3"/>
    <s v="plays"/>
  </r>
  <r>
    <n v="769"/>
    <s v="Johnson-Morales"/>
    <s v="Devolved 24hour forecast"/>
    <n v="125600"/>
    <n v="109106"/>
    <x v="0"/>
    <n v="3410"/>
    <x v="1"/>
    <s v="USD"/>
    <n v="1376542800"/>
    <n v="1378789200"/>
    <b v="0"/>
    <b v="0"/>
    <s v="games/video games"/>
    <m/>
    <x v="6"/>
    <s v="video games"/>
  </r>
  <r>
    <n v="770"/>
    <s v="Mathis-Rodriguez"/>
    <s v="User-centric attitude-oriented intranet"/>
    <n v="4300"/>
    <n v="11642"/>
    <x v="1"/>
    <n v="216"/>
    <x v="6"/>
    <s v="EUR"/>
    <n v="1397451600"/>
    <n v="1398056400"/>
    <b v="0"/>
    <b v="1"/>
    <s v="theater/plays"/>
    <m/>
    <x v="3"/>
    <s v="plays"/>
  </r>
  <r>
    <n v="771"/>
    <s v="Smith, Mack and Williams"/>
    <s v="Self-enabling 5thgeneration paradigm"/>
    <n v="5600"/>
    <n v="2769"/>
    <x v="3"/>
    <n v="26"/>
    <x v="1"/>
    <s v="USD"/>
    <n v="1548482400"/>
    <n v="1550815200"/>
    <b v="0"/>
    <b v="0"/>
    <s v="theater/plays"/>
    <m/>
    <x v="3"/>
    <s v="plays"/>
  </r>
  <r>
    <n v="772"/>
    <s v="Johnson-Pace"/>
    <s v="Persistent 3rdgeneration moratorium"/>
    <n v="149600"/>
    <n v="169586"/>
    <x v="1"/>
    <n v="5139"/>
    <x v="1"/>
    <s v="USD"/>
    <n v="1549692000"/>
    <n v="1550037600"/>
    <b v="0"/>
    <b v="0"/>
    <s v="music/indie rock"/>
    <m/>
    <x v="1"/>
    <s v="indie rock"/>
  </r>
  <r>
    <n v="773"/>
    <s v="Meza, Kirby and Patel"/>
    <s v="Cross-platform empowering project"/>
    <n v="53100"/>
    <n v="101185"/>
    <x v="1"/>
    <n v="2353"/>
    <x v="1"/>
    <s v="USD"/>
    <n v="1492059600"/>
    <n v="1492923600"/>
    <b v="0"/>
    <b v="0"/>
    <s v="theater/plays"/>
    <m/>
    <x v="3"/>
    <s v="plays"/>
  </r>
  <r>
    <n v="774"/>
    <s v="Gonzalez-Snow"/>
    <s v="Polarized user-facing interface"/>
    <n v="5000"/>
    <n v="6775"/>
    <x v="1"/>
    <n v="78"/>
    <x v="6"/>
    <s v="EUR"/>
    <n v="1463979600"/>
    <n v="1467522000"/>
    <b v="0"/>
    <b v="0"/>
    <s v="technology/web"/>
    <m/>
    <x v="2"/>
    <s v="web"/>
  </r>
  <r>
    <n v="775"/>
    <s v="Murphy LLC"/>
    <s v="Customer-focused non-volatile framework"/>
    <n v="9400"/>
    <n v="968"/>
    <x v="0"/>
    <n v="10"/>
    <x v="1"/>
    <s v="USD"/>
    <n v="1415253600"/>
    <n v="1416117600"/>
    <b v="0"/>
    <b v="0"/>
    <s v="music/rock"/>
    <m/>
    <x v="1"/>
    <s v="rock"/>
  </r>
  <r>
    <n v="776"/>
    <s v="Taylor-Rowe"/>
    <s v="Synchronized multimedia frame"/>
    <n v="110800"/>
    <n v="72623"/>
    <x v="0"/>
    <n v="2201"/>
    <x v="1"/>
    <s v="USD"/>
    <n v="1562216400"/>
    <n v="1563771600"/>
    <b v="0"/>
    <b v="0"/>
    <s v="theater/plays"/>
    <m/>
    <x v="3"/>
    <s v="plays"/>
  </r>
  <r>
    <n v="777"/>
    <s v="Henderson Ltd"/>
    <s v="Open-architected stable algorithm"/>
    <n v="93800"/>
    <n v="45987"/>
    <x v="0"/>
    <n v="676"/>
    <x v="1"/>
    <s v="USD"/>
    <n v="1316754000"/>
    <n v="1319259600"/>
    <b v="0"/>
    <b v="0"/>
    <s v="theater/plays"/>
    <m/>
    <x v="3"/>
    <s v="plays"/>
  </r>
  <r>
    <n v="778"/>
    <s v="Moss-Guzman"/>
    <s v="Cross-platform optimizing website"/>
    <n v="1300"/>
    <n v="10243"/>
    <x v="1"/>
    <n v="174"/>
    <x v="5"/>
    <s v="CHF"/>
    <n v="1313211600"/>
    <n v="1313643600"/>
    <b v="0"/>
    <b v="0"/>
    <s v="film &amp; video/animation"/>
    <m/>
    <x v="4"/>
    <s v="animation"/>
  </r>
  <r>
    <n v="779"/>
    <s v="Webb Group"/>
    <s v="Public-key actuating projection"/>
    <n v="108700"/>
    <n v="87293"/>
    <x v="0"/>
    <n v="831"/>
    <x v="1"/>
    <s v="USD"/>
    <n v="1439528400"/>
    <n v="1440306000"/>
    <b v="0"/>
    <b v="1"/>
    <s v="theater/plays"/>
    <m/>
    <x v="3"/>
    <s v="plays"/>
  </r>
  <r>
    <n v="780"/>
    <s v="Brooks-Rodriguez"/>
    <s v="Implemented intangible instruction set"/>
    <n v="5100"/>
    <n v="5421"/>
    <x v="1"/>
    <n v="164"/>
    <x v="1"/>
    <s v="USD"/>
    <n v="1469163600"/>
    <n v="1470805200"/>
    <b v="0"/>
    <b v="1"/>
    <s v="film &amp; video/drama"/>
    <m/>
    <x v="4"/>
    <s v="drama"/>
  </r>
  <r>
    <n v="781"/>
    <s v="Thomas Ltd"/>
    <s v="Cross-group interactive architecture"/>
    <n v="8700"/>
    <n v="4414"/>
    <x v="3"/>
    <n v="56"/>
    <x v="5"/>
    <s v="CHF"/>
    <n v="1288501200"/>
    <n v="1292911200"/>
    <b v="0"/>
    <b v="0"/>
    <s v="theater/plays"/>
    <m/>
    <x v="3"/>
    <s v="plays"/>
  </r>
  <r>
    <n v="782"/>
    <s v="Williams and Sons"/>
    <s v="Centralized asymmetric framework"/>
    <n v="5100"/>
    <n v="10981"/>
    <x v="1"/>
    <n v="161"/>
    <x v="1"/>
    <s v="USD"/>
    <n v="1298959200"/>
    <n v="1301374800"/>
    <b v="0"/>
    <b v="1"/>
    <s v="film &amp; video/animation"/>
    <m/>
    <x v="4"/>
    <s v="animation"/>
  </r>
  <r>
    <n v="783"/>
    <s v="Vega, Chan and Carney"/>
    <s v="Down-sized systematic utilization"/>
    <n v="7400"/>
    <n v="10451"/>
    <x v="1"/>
    <n v="138"/>
    <x v="1"/>
    <s v="USD"/>
    <n v="1387260000"/>
    <n v="1387864800"/>
    <b v="0"/>
    <b v="0"/>
    <s v="music/rock"/>
    <m/>
    <x v="1"/>
    <s v="rock"/>
  </r>
  <r>
    <n v="784"/>
    <s v="Byrd Group"/>
    <s v="Profound fault-tolerant model"/>
    <n v="88900"/>
    <n v="102535"/>
    <x v="1"/>
    <n v="3308"/>
    <x v="1"/>
    <s v="USD"/>
    <n v="1457244000"/>
    <n v="1458190800"/>
    <b v="0"/>
    <b v="0"/>
    <s v="technology/web"/>
    <m/>
    <x v="2"/>
    <s v="web"/>
  </r>
  <r>
    <n v="785"/>
    <s v="Peterson, Fletcher and Sanchez"/>
    <s v="Multi-channeled bi-directional moratorium"/>
    <n v="6700"/>
    <n v="12939"/>
    <x v="1"/>
    <n v="127"/>
    <x v="2"/>
    <s v="AUD"/>
    <n v="1556341200"/>
    <n v="1559278800"/>
    <b v="0"/>
    <b v="1"/>
    <s v="film &amp; video/animation"/>
    <m/>
    <x v="4"/>
    <s v="animation"/>
  </r>
  <r>
    <n v="786"/>
    <s v="Smith-Brown"/>
    <s v="Object-based content-based ability"/>
    <n v="1500"/>
    <n v="10946"/>
    <x v="1"/>
    <n v="207"/>
    <x v="6"/>
    <s v="EUR"/>
    <n v="1522126800"/>
    <n v="1522731600"/>
    <b v="0"/>
    <b v="1"/>
    <s v="music/jazz"/>
    <m/>
    <x v="1"/>
    <s v="jazz"/>
  </r>
  <r>
    <n v="787"/>
    <s v="Vance-Glover"/>
    <s v="Progressive coherent secured line"/>
    <n v="61200"/>
    <n v="60994"/>
    <x v="0"/>
    <n v="859"/>
    <x v="0"/>
    <s v="CAD"/>
    <n v="1305954000"/>
    <n v="1306731600"/>
    <b v="0"/>
    <b v="0"/>
    <s v="music/rock"/>
    <m/>
    <x v="1"/>
    <s v="rock"/>
  </r>
  <r>
    <n v="788"/>
    <s v="Joyce PLC"/>
    <s v="Synchronized directional capability"/>
    <n v="3600"/>
    <n v="3174"/>
    <x v="2"/>
    <n v="31"/>
    <x v="1"/>
    <s v="USD"/>
    <n v="1350709200"/>
    <n v="1352527200"/>
    <b v="0"/>
    <b v="0"/>
    <s v="film &amp; video/animation"/>
    <m/>
    <x v="4"/>
    <s v="animation"/>
  </r>
  <r>
    <n v="789"/>
    <s v="Kennedy-Miller"/>
    <s v="Cross-platform composite migration"/>
    <n v="9000"/>
    <n v="3351"/>
    <x v="0"/>
    <n v="45"/>
    <x v="1"/>
    <s v="USD"/>
    <n v="1401166800"/>
    <n v="1404363600"/>
    <b v="0"/>
    <b v="0"/>
    <s v="theater/plays"/>
    <m/>
    <x v="3"/>
    <s v="plays"/>
  </r>
  <r>
    <n v="790"/>
    <s v="White-Obrien"/>
    <s v="Operative local pricing structure"/>
    <n v="185900"/>
    <n v="56774"/>
    <x v="3"/>
    <n v="1113"/>
    <x v="1"/>
    <s v="USD"/>
    <n v="1266127200"/>
    <n v="1266645600"/>
    <b v="0"/>
    <b v="0"/>
    <s v="theater/plays"/>
    <m/>
    <x v="3"/>
    <s v="plays"/>
  </r>
  <r>
    <n v="791"/>
    <s v="Stafford, Hess and Raymond"/>
    <s v="Optional web-enabled extranet"/>
    <n v="2100"/>
    <n v="540"/>
    <x v="0"/>
    <n v="6"/>
    <x v="1"/>
    <s v="USD"/>
    <n v="1481436000"/>
    <n v="1482818400"/>
    <b v="0"/>
    <b v="0"/>
    <s v="food/food trucks"/>
    <m/>
    <x v="0"/>
    <s v="food trucks"/>
  </r>
  <r>
    <n v="792"/>
    <s v="Jordan, Schneider and Hall"/>
    <s v="Reduced 6thgeneration intranet"/>
    <n v="2000"/>
    <n v="680"/>
    <x v="0"/>
    <n v="7"/>
    <x v="1"/>
    <s v="USD"/>
    <n v="1372222800"/>
    <n v="1374642000"/>
    <b v="0"/>
    <b v="1"/>
    <s v="theater/plays"/>
    <m/>
    <x v="3"/>
    <s v="plays"/>
  </r>
  <r>
    <n v="793"/>
    <s v="Rodriguez, Cox and Rodriguez"/>
    <s v="Networked disintermediate leverage"/>
    <n v="1100"/>
    <n v="13045"/>
    <x v="1"/>
    <n v="181"/>
    <x v="5"/>
    <s v="CHF"/>
    <n v="1372136400"/>
    <n v="1372482000"/>
    <b v="0"/>
    <b v="0"/>
    <s v="publishing/nonfiction"/>
    <m/>
    <x v="5"/>
    <s v="nonfiction"/>
  </r>
  <r>
    <n v="794"/>
    <s v="Welch Inc"/>
    <s v="Optional optimal website"/>
    <n v="6600"/>
    <n v="8276"/>
    <x v="1"/>
    <n v="110"/>
    <x v="1"/>
    <s v="USD"/>
    <n v="1513922400"/>
    <n v="1514959200"/>
    <b v="0"/>
    <b v="0"/>
    <s v="music/rock"/>
    <m/>
    <x v="1"/>
    <s v="rock"/>
  </r>
  <r>
    <n v="795"/>
    <s v="Vasquez Inc"/>
    <s v="Stand-alone asynchronous functionalities"/>
    <n v="7100"/>
    <n v="1022"/>
    <x v="0"/>
    <n v="31"/>
    <x v="1"/>
    <s v="USD"/>
    <n v="1477976400"/>
    <n v="1478235600"/>
    <b v="0"/>
    <b v="0"/>
    <s v="film &amp; video/drama"/>
    <m/>
    <x v="4"/>
    <s v="drama"/>
  </r>
  <r>
    <n v="796"/>
    <s v="Freeman-Ferguson"/>
    <s v="Profound full-range open system"/>
    <n v="7800"/>
    <n v="4275"/>
    <x v="0"/>
    <n v="78"/>
    <x v="1"/>
    <s v="USD"/>
    <n v="1407474000"/>
    <n v="1408078800"/>
    <b v="0"/>
    <b v="1"/>
    <s v="games/mobile games"/>
    <m/>
    <x v="6"/>
    <s v="mobile games"/>
  </r>
  <r>
    <n v="797"/>
    <s v="Houston, Moore and Rogers"/>
    <s v="Optional tangible utilization"/>
    <n v="7600"/>
    <n v="8332"/>
    <x v="1"/>
    <n v="185"/>
    <x v="1"/>
    <s v="USD"/>
    <n v="1546149600"/>
    <n v="1548136800"/>
    <b v="0"/>
    <b v="0"/>
    <s v="technology/web"/>
    <m/>
    <x v="2"/>
    <s v="web"/>
  </r>
  <r>
    <n v="798"/>
    <s v="Small-Fuentes"/>
    <s v="Seamless maximized product"/>
    <n v="3400"/>
    <n v="6408"/>
    <x v="1"/>
    <n v="121"/>
    <x v="1"/>
    <s v="USD"/>
    <n v="1338440400"/>
    <n v="1340859600"/>
    <b v="0"/>
    <b v="1"/>
    <s v="theater/plays"/>
    <m/>
    <x v="3"/>
    <s v="plays"/>
  </r>
  <r>
    <n v="799"/>
    <s v="Reid-Day"/>
    <s v="Devolved tertiary time-frame"/>
    <n v="84500"/>
    <n v="73522"/>
    <x v="0"/>
    <n v="1225"/>
    <x v="4"/>
    <s v="GBP"/>
    <n v="1454133600"/>
    <n v="1454479200"/>
    <b v="0"/>
    <b v="0"/>
    <s v="theater/plays"/>
    <m/>
    <x v="3"/>
    <s v="plays"/>
  </r>
  <r>
    <n v="800"/>
    <s v="Wallace LLC"/>
    <s v="Centralized regional function"/>
    <n v="100"/>
    <n v="1"/>
    <x v="0"/>
    <n v="1"/>
    <x v="5"/>
    <s v="CHF"/>
    <n v="1434085200"/>
    <n v="1434430800"/>
    <b v="0"/>
    <b v="0"/>
    <s v="music/rock"/>
    <m/>
    <x v="1"/>
    <s v="rock"/>
  </r>
  <r>
    <n v="801"/>
    <s v="Olson-Bishop"/>
    <s v="User-friendly high-level initiative"/>
    <n v="2300"/>
    <n v="4667"/>
    <x v="1"/>
    <n v="106"/>
    <x v="1"/>
    <s v="USD"/>
    <n v="1577772000"/>
    <n v="1579672800"/>
    <b v="0"/>
    <b v="1"/>
    <s v="photography/photography books"/>
    <m/>
    <x v="7"/>
    <s v="photography books"/>
  </r>
  <r>
    <n v="802"/>
    <s v="Rodriguez, Anderson and Porter"/>
    <s v="Reverse-engineered zero-defect infrastructure"/>
    <n v="6200"/>
    <n v="12216"/>
    <x v="1"/>
    <n v="142"/>
    <x v="1"/>
    <s v="USD"/>
    <n v="1562216400"/>
    <n v="1562389200"/>
    <b v="0"/>
    <b v="0"/>
    <s v="photography/photography books"/>
    <m/>
    <x v="7"/>
    <s v="photography books"/>
  </r>
  <r>
    <n v="803"/>
    <s v="Perez, Brown and Meyers"/>
    <s v="Stand-alone background customer loyalty"/>
    <n v="6100"/>
    <n v="6527"/>
    <x v="1"/>
    <n v="233"/>
    <x v="1"/>
    <s v="USD"/>
    <n v="1548568800"/>
    <n v="1551506400"/>
    <b v="0"/>
    <b v="0"/>
    <s v="theater/plays"/>
    <m/>
    <x v="3"/>
    <s v="plays"/>
  </r>
  <r>
    <n v="804"/>
    <s v="English-Mccullough"/>
    <s v="Business-focused discrete software"/>
    <n v="2600"/>
    <n v="6987"/>
    <x v="1"/>
    <n v="218"/>
    <x v="1"/>
    <s v="USD"/>
    <n v="1514872800"/>
    <n v="1516600800"/>
    <b v="0"/>
    <b v="0"/>
    <s v="music/rock"/>
    <m/>
    <x v="1"/>
    <s v="rock"/>
  </r>
  <r>
    <n v="805"/>
    <s v="Smith-Nguyen"/>
    <s v="Advanced intermediate Graphic Interface"/>
    <n v="9700"/>
    <n v="4932"/>
    <x v="0"/>
    <n v="67"/>
    <x v="2"/>
    <s v="AUD"/>
    <n v="1416031200"/>
    <n v="1420437600"/>
    <b v="0"/>
    <b v="0"/>
    <s v="film &amp; video/documentary"/>
    <m/>
    <x v="4"/>
    <s v="documentary"/>
  </r>
  <r>
    <n v="806"/>
    <s v="Harmon-Madden"/>
    <s v="Adaptive holistic hub"/>
    <n v="700"/>
    <n v="8262"/>
    <x v="1"/>
    <n v="76"/>
    <x v="1"/>
    <s v="USD"/>
    <n v="1330927200"/>
    <n v="1332997200"/>
    <b v="0"/>
    <b v="1"/>
    <s v="film &amp; video/drama"/>
    <m/>
    <x v="4"/>
    <s v="drama"/>
  </r>
  <r>
    <n v="807"/>
    <s v="Walker-Taylor"/>
    <s v="Automated uniform concept"/>
    <n v="700"/>
    <n v="1848"/>
    <x v="1"/>
    <n v="43"/>
    <x v="1"/>
    <s v="USD"/>
    <n v="1571115600"/>
    <n v="1574920800"/>
    <b v="0"/>
    <b v="1"/>
    <s v="theater/plays"/>
    <m/>
    <x v="3"/>
    <s v="plays"/>
  </r>
  <r>
    <n v="808"/>
    <s v="Harris, Medina and Mitchell"/>
    <s v="Enhanced regional flexibility"/>
    <n v="5200"/>
    <n v="1583"/>
    <x v="0"/>
    <n v="19"/>
    <x v="1"/>
    <s v="USD"/>
    <n v="1463461200"/>
    <n v="1464930000"/>
    <b v="0"/>
    <b v="0"/>
    <s v="food/food trucks"/>
    <m/>
    <x v="0"/>
    <s v="food trucks"/>
  </r>
  <r>
    <n v="809"/>
    <s v="Williams and Sons"/>
    <s v="Public-key bottom-line algorithm"/>
    <n v="140800"/>
    <n v="88536"/>
    <x v="0"/>
    <n v="2108"/>
    <x v="5"/>
    <s v="CHF"/>
    <n v="1344920400"/>
    <n v="1345006800"/>
    <b v="0"/>
    <b v="0"/>
    <s v="film &amp; video/documentary"/>
    <m/>
    <x v="4"/>
    <s v="documentary"/>
  </r>
  <r>
    <n v="810"/>
    <s v="Ball-Fisher"/>
    <s v="Multi-layered intangible instruction set"/>
    <n v="6400"/>
    <n v="12360"/>
    <x v="1"/>
    <n v="221"/>
    <x v="1"/>
    <s v="USD"/>
    <n v="1511848800"/>
    <n v="1512712800"/>
    <b v="0"/>
    <b v="1"/>
    <s v="theater/plays"/>
    <m/>
    <x v="3"/>
    <s v="plays"/>
  </r>
  <r>
    <n v="811"/>
    <s v="Page, Holt and Mack"/>
    <s v="Fundamental methodical emulation"/>
    <n v="92500"/>
    <n v="71320"/>
    <x v="0"/>
    <n v="679"/>
    <x v="1"/>
    <s v="USD"/>
    <n v="1452319200"/>
    <n v="1452492000"/>
    <b v="0"/>
    <b v="1"/>
    <s v="games/video games"/>
    <m/>
    <x v="6"/>
    <s v="video games"/>
  </r>
  <r>
    <n v="812"/>
    <s v="Landry Group"/>
    <s v="Expanded value-added hardware"/>
    <n v="59700"/>
    <n v="134640"/>
    <x v="1"/>
    <n v="2805"/>
    <x v="0"/>
    <s v="CAD"/>
    <n v="1523854800"/>
    <n v="1524286800"/>
    <b v="0"/>
    <b v="0"/>
    <s v="publishing/nonfiction"/>
    <m/>
    <x v="5"/>
    <s v="nonfiction"/>
  </r>
  <r>
    <n v="813"/>
    <s v="Buckley Group"/>
    <s v="Diverse high-level attitude"/>
    <n v="3200"/>
    <n v="7661"/>
    <x v="1"/>
    <n v="68"/>
    <x v="1"/>
    <s v="USD"/>
    <n v="1346043600"/>
    <n v="1346907600"/>
    <b v="0"/>
    <b v="0"/>
    <s v="games/video games"/>
    <m/>
    <x v="6"/>
    <s v="video games"/>
  </r>
  <r>
    <n v="814"/>
    <s v="Vincent PLC"/>
    <s v="Visionary 24hour analyzer"/>
    <n v="3200"/>
    <n v="2950"/>
    <x v="0"/>
    <n v="36"/>
    <x v="3"/>
    <s v="DKK"/>
    <n v="1464325200"/>
    <n v="1464498000"/>
    <b v="0"/>
    <b v="1"/>
    <s v="music/rock"/>
    <m/>
    <x v="1"/>
    <s v="rock"/>
  </r>
  <r>
    <n v="815"/>
    <s v="Watson-Douglas"/>
    <s v="Centralized bandwidth-monitored leverage"/>
    <n v="9000"/>
    <n v="11721"/>
    <x v="1"/>
    <n v="183"/>
    <x v="0"/>
    <s v="CAD"/>
    <n v="1511935200"/>
    <n v="1514181600"/>
    <b v="0"/>
    <b v="0"/>
    <s v="music/rock"/>
    <m/>
    <x v="1"/>
    <s v="rock"/>
  </r>
  <r>
    <n v="816"/>
    <s v="Jones, Casey and Jones"/>
    <s v="Ergonomic mission-critical moratorium"/>
    <n v="2300"/>
    <n v="14150"/>
    <x v="1"/>
    <n v="133"/>
    <x v="1"/>
    <s v="USD"/>
    <n v="1392012000"/>
    <n v="1392184800"/>
    <b v="1"/>
    <b v="1"/>
    <s v="theater/plays"/>
    <m/>
    <x v="3"/>
    <s v="plays"/>
  </r>
  <r>
    <n v="817"/>
    <s v="Alvarez-Bauer"/>
    <s v="Front-line intermediate moderator"/>
    <n v="51300"/>
    <n v="189192"/>
    <x v="1"/>
    <n v="2489"/>
    <x v="6"/>
    <s v="EUR"/>
    <n v="1556946000"/>
    <n v="1559365200"/>
    <b v="0"/>
    <b v="1"/>
    <s v="publishing/nonfiction"/>
    <m/>
    <x v="5"/>
    <s v="nonfiction"/>
  </r>
  <r>
    <n v="818"/>
    <s v="Martinez LLC"/>
    <s v="Automated local secured line"/>
    <n v="700"/>
    <n v="7664"/>
    <x v="1"/>
    <n v="69"/>
    <x v="1"/>
    <s v="USD"/>
    <n v="1548050400"/>
    <n v="1549173600"/>
    <b v="0"/>
    <b v="1"/>
    <s v="theater/plays"/>
    <m/>
    <x v="3"/>
    <s v="plays"/>
  </r>
  <r>
    <n v="819"/>
    <s v="Buck-Khan"/>
    <s v="Integrated bandwidth-monitored alliance"/>
    <n v="8900"/>
    <n v="4509"/>
    <x v="0"/>
    <n v="47"/>
    <x v="1"/>
    <s v="USD"/>
    <n v="1353736800"/>
    <n v="1355032800"/>
    <b v="1"/>
    <b v="0"/>
    <s v="games/video games"/>
    <m/>
    <x v="6"/>
    <s v="video games"/>
  </r>
  <r>
    <n v="820"/>
    <s v="Valdez, Williams and Meyer"/>
    <s v="Cross-group heuristic forecast"/>
    <n v="1500"/>
    <n v="12009"/>
    <x v="1"/>
    <n v="279"/>
    <x v="4"/>
    <s v="GBP"/>
    <n v="1532840400"/>
    <n v="1533963600"/>
    <b v="0"/>
    <b v="1"/>
    <s v="music/rock"/>
    <m/>
    <x v="1"/>
    <s v="rock"/>
  </r>
  <r>
    <n v="821"/>
    <s v="Alvarez-Andrews"/>
    <s v="Extended impactful secured line"/>
    <n v="4900"/>
    <n v="14273"/>
    <x v="1"/>
    <n v="210"/>
    <x v="1"/>
    <s v="USD"/>
    <n v="1488261600"/>
    <n v="1489381200"/>
    <b v="0"/>
    <b v="0"/>
    <s v="film &amp; video/documentary"/>
    <m/>
    <x v="4"/>
    <s v="documentary"/>
  </r>
  <r>
    <n v="822"/>
    <s v="Stewart and Sons"/>
    <s v="Distributed optimizing protocol"/>
    <n v="54000"/>
    <n v="188982"/>
    <x v="1"/>
    <n v="2100"/>
    <x v="1"/>
    <s v="USD"/>
    <n v="1393567200"/>
    <n v="1395032400"/>
    <b v="0"/>
    <b v="0"/>
    <s v="music/rock"/>
    <m/>
    <x v="1"/>
    <s v="rock"/>
  </r>
  <r>
    <n v="823"/>
    <s v="Dyer Inc"/>
    <s v="Secured well-modulated system engine"/>
    <n v="4100"/>
    <n v="14640"/>
    <x v="1"/>
    <n v="252"/>
    <x v="1"/>
    <s v="USD"/>
    <n v="1410325200"/>
    <n v="1412485200"/>
    <b v="1"/>
    <b v="1"/>
    <s v="music/rock"/>
    <m/>
    <x v="1"/>
    <s v="rock"/>
  </r>
  <r>
    <n v="824"/>
    <s v="Anderson, Williams and Cox"/>
    <s v="Streamlined national benchmark"/>
    <n v="85000"/>
    <n v="107516"/>
    <x v="1"/>
    <n v="1280"/>
    <x v="1"/>
    <s v="USD"/>
    <n v="1276923600"/>
    <n v="1279688400"/>
    <b v="0"/>
    <b v="1"/>
    <s v="publishing/nonfiction"/>
    <m/>
    <x v="5"/>
    <s v="nonfiction"/>
  </r>
  <r>
    <n v="825"/>
    <s v="Solomon PLC"/>
    <s v="Open-architected 24/7 infrastructure"/>
    <n v="3600"/>
    <n v="13950"/>
    <x v="1"/>
    <n v="157"/>
    <x v="4"/>
    <s v="GBP"/>
    <n v="1500958800"/>
    <n v="1501995600"/>
    <b v="0"/>
    <b v="0"/>
    <s v="film &amp; video/shorts"/>
    <m/>
    <x v="4"/>
    <s v="shorts"/>
  </r>
  <r>
    <n v="826"/>
    <s v="Miller-Hubbard"/>
    <s v="Digitized 6thgeneration Local Area Network"/>
    <n v="2800"/>
    <n v="12797"/>
    <x v="1"/>
    <n v="194"/>
    <x v="1"/>
    <s v="USD"/>
    <n v="1292220000"/>
    <n v="1294639200"/>
    <b v="0"/>
    <b v="1"/>
    <s v="theater/plays"/>
    <m/>
    <x v="3"/>
    <s v="plays"/>
  </r>
  <r>
    <n v="827"/>
    <s v="Miranda, Martinez and Lowery"/>
    <s v="Innovative actuating artificial intelligence"/>
    <n v="2300"/>
    <n v="6134"/>
    <x v="1"/>
    <n v="82"/>
    <x v="2"/>
    <s v="AUD"/>
    <n v="1304398800"/>
    <n v="1305435600"/>
    <b v="0"/>
    <b v="1"/>
    <s v="film &amp; video/drama"/>
    <m/>
    <x v="4"/>
    <s v="drama"/>
  </r>
  <r>
    <n v="828"/>
    <s v="Munoz, Cherry and Bell"/>
    <s v="Cross-platform reciprocal budgetary management"/>
    <n v="7100"/>
    <n v="4899"/>
    <x v="0"/>
    <n v="70"/>
    <x v="1"/>
    <s v="USD"/>
    <n v="1535432400"/>
    <n v="1537592400"/>
    <b v="0"/>
    <b v="0"/>
    <s v="theater/plays"/>
    <m/>
    <x v="3"/>
    <s v="plays"/>
  </r>
  <r>
    <n v="829"/>
    <s v="Baker-Higgins"/>
    <s v="Vision-oriented scalable portal"/>
    <n v="9600"/>
    <n v="4929"/>
    <x v="0"/>
    <n v="154"/>
    <x v="1"/>
    <s v="USD"/>
    <n v="1433826000"/>
    <n v="1435122000"/>
    <b v="0"/>
    <b v="0"/>
    <s v="theater/plays"/>
    <m/>
    <x v="3"/>
    <s v="plays"/>
  </r>
  <r>
    <n v="830"/>
    <s v="Johnson, Turner and Carroll"/>
    <s v="Persevering zero administration knowledge user"/>
    <n v="121600"/>
    <n v="1424"/>
    <x v="0"/>
    <n v="22"/>
    <x v="1"/>
    <s v="USD"/>
    <n v="1514959200"/>
    <n v="1520056800"/>
    <b v="0"/>
    <b v="0"/>
    <s v="theater/plays"/>
    <m/>
    <x v="3"/>
    <s v="plays"/>
  </r>
  <r>
    <n v="831"/>
    <s v="Ward PLC"/>
    <s v="Front-line bottom-line Graphic Interface"/>
    <n v="97100"/>
    <n v="105817"/>
    <x v="1"/>
    <n v="4233"/>
    <x v="1"/>
    <s v="USD"/>
    <n v="1332738000"/>
    <n v="1335675600"/>
    <b v="0"/>
    <b v="0"/>
    <s v="photography/photography books"/>
    <m/>
    <x v="7"/>
    <s v="photography books"/>
  </r>
  <r>
    <n v="832"/>
    <s v="Bradley, Beck and Mayo"/>
    <s v="Synergized fault-tolerant hierarchy"/>
    <n v="43200"/>
    <n v="136156"/>
    <x v="1"/>
    <n v="1297"/>
    <x v="3"/>
    <s v="DKK"/>
    <n v="1445490000"/>
    <n v="1448431200"/>
    <b v="1"/>
    <b v="0"/>
    <s v="publishing/translations"/>
    <m/>
    <x v="5"/>
    <s v="translations"/>
  </r>
  <r>
    <n v="833"/>
    <s v="Levine, Martin and Hernandez"/>
    <s v="Expanded asynchronous groupware"/>
    <n v="6800"/>
    <n v="10723"/>
    <x v="1"/>
    <n v="165"/>
    <x v="3"/>
    <s v="DKK"/>
    <n v="1297663200"/>
    <n v="1298613600"/>
    <b v="0"/>
    <b v="0"/>
    <s v="publishing/translations"/>
    <m/>
    <x v="5"/>
    <s v="translations"/>
  </r>
  <r>
    <n v="834"/>
    <s v="Gallegos, Wagner and Gaines"/>
    <s v="Expanded fault-tolerant emulation"/>
    <n v="7300"/>
    <n v="11228"/>
    <x v="1"/>
    <n v="119"/>
    <x v="1"/>
    <s v="USD"/>
    <n v="1371963600"/>
    <n v="1372482000"/>
    <b v="0"/>
    <b v="0"/>
    <s v="theater/plays"/>
    <m/>
    <x v="3"/>
    <s v="plays"/>
  </r>
  <r>
    <n v="835"/>
    <s v="Hodges, Smith and Kelly"/>
    <s v="Future-proofed 24hour model"/>
    <n v="86200"/>
    <n v="77355"/>
    <x v="0"/>
    <n v="1758"/>
    <x v="1"/>
    <s v="USD"/>
    <n v="1425103200"/>
    <n v="1425621600"/>
    <b v="0"/>
    <b v="0"/>
    <s v="technology/web"/>
    <m/>
    <x v="2"/>
    <s v="web"/>
  </r>
  <r>
    <n v="836"/>
    <s v="Macias Inc"/>
    <s v="Optimized didactic intranet"/>
    <n v="8100"/>
    <n v="6086"/>
    <x v="0"/>
    <n v="94"/>
    <x v="1"/>
    <s v="USD"/>
    <n v="1265349600"/>
    <n v="1266300000"/>
    <b v="0"/>
    <b v="0"/>
    <s v="music/indie rock"/>
    <m/>
    <x v="1"/>
    <s v="indie rock"/>
  </r>
  <r>
    <n v="837"/>
    <s v="Cook-Ortiz"/>
    <s v="Right-sized dedicated standardization"/>
    <n v="17700"/>
    <n v="150960"/>
    <x v="1"/>
    <n v="1797"/>
    <x v="1"/>
    <s v="USD"/>
    <n v="1301202000"/>
    <n v="1305867600"/>
    <b v="0"/>
    <b v="0"/>
    <s v="music/jazz"/>
    <m/>
    <x v="1"/>
    <s v="jazz"/>
  </r>
  <r>
    <n v="838"/>
    <s v="Jordan-Fischer"/>
    <s v="Vision-oriented high-level extranet"/>
    <n v="6400"/>
    <n v="8890"/>
    <x v="1"/>
    <n v="261"/>
    <x v="1"/>
    <s v="USD"/>
    <n v="1538024400"/>
    <n v="1538802000"/>
    <b v="0"/>
    <b v="0"/>
    <s v="theater/plays"/>
    <m/>
    <x v="3"/>
    <s v="plays"/>
  </r>
  <r>
    <n v="839"/>
    <s v="Pierce-Ramirez"/>
    <s v="Organized scalable initiative"/>
    <n v="7700"/>
    <n v="14644"/>
    <x v="1"/>
    <n v="157"/>
    <x v="1"/>
    <s v="USD"/>
    <n v="1395032400"/>
    <n v="1398920400"/>
    <b v="0"/>
    <b v="1"/>
    <s v="film &amp; video/documentary"/>
    <m/>
    <x v="4"/>
    <s v="documentary"/>
  </r>
  <r>
    <n v="840"/>
    <s v="Howell and Sons"/>
    <s v="Enhanced regional moderator"/>
    <n v="116300"/>
    <n v="116583"/>
    <x v="1"/>
    <n v="3533"/>
    <x v="1"/>
    <s v="USD"/>
    <n v="1405486800"/>
    <n v="1405659600"/>
    <b v="0"/>
    <b v="1"/>
    <s v="theater/plays"/>
    <m/>
    <x v="3"/>
    <s v="plays"/>
  </r>
  <r>
    <n v="841"/>
    <s v="Garcia, Dunn and Richardson"/>
    <s v="Automated even-keeled emulation"/>
    <n v="9100"/>
    <n v="12991"/>
    <x v="1"/>
    <n v="155"/>
    <x v="1"/>
    <s v="USD"/>
    <n v="1455861600"/>
    <n v="1457244000"/>
    <b v="0"/>
    <b v="0"/>
    <s v="technology/web"/>
    <m/>
    <x v="2"/>
    <s v="web"/>
  </r>
  <r>
    <n v="842"/>
    <s v="Lawson and Sons"/>
    <s v="Reverse-engineered multi-tasking product"/>
    <n v="1500"/>
    <n v="8447"/>
    <x v="1"/>
    <n v="132"/>
    <x v="6"/>
    <s v="EUR"/>
    <n v="1529038800"/>
    <n v="1529298000"/>
    <b v="0"/>
    <b v="0"/>
    <s v="technology/wearables"/>
    <m/>
    <x v="2"/>
    <s v="wearables"/>
  </r>
  <r>
    <n v="843"/>
    <s v="Porter-Hicks"/>
    <s v="De-engineered next generation parallelism"/>
    <n v="8800"/>
    <n v="2703"/>
    <x v="0"/>
    <n v="33"/>
    <x v="1"/>
    <s v="USD"/>
    <n v="1535259600"/>
    <n v="1535778000"/>
    <b v="0"/>
    <b v="0"/>
    <s v="photography/photography books"/>
    <m/>
    <x v="7"/>
    <s v="photography books"/>
  </r>
  <r>
    <n v="844"/>
    <s v="Rodriguez-Hansen"/>
    <s v="Intuitive cohesive groupware"/>
    <n v="8800"/>
    <n v="8747"/>
    <x v="3"/>
    <n v="94"/>
    <x v="1"/>
    <s v="USD"/>
    <n v="1327212000"/>
    <n v="1327471200"/>
    <b v="0"/>
    <b v="0"/>
    <s v="film &amp; video/documentary"/>
    <m/>
    <x v="4"/>
    <s v="documentary"/>
  </r>
  <r>
    <n v="845"/>
    <s v="Williams LLC"/>
    <s v="Up-sized high-level access"/>
    <n v="69900"/>
    <n v="138087"/>
    <x v="1"/>
    <n v="1354"/>
    <x v="4"/>
    <s v="GBP"/>
    <n v="1526360400"/>
    <n v="1529557200"/>
    <b v="0"/>
    <b v="0"/>
    <s v="technology/web"/>
    <m/>
    <x v="2"/>
    <s v="web"/>
  </r>
  <r>
    <n v="846"/>
    <s v="Cooper, Stanley and Bryant"/>
    <s v="Phased empowering success"/>
    <n v="1000"/>
    <n v="5085"/>
    <x v="1"/>
    <n v="48"/>
    <x v="1"/>
    <s v="USD"/>
    <n v="1532149200"/>
    <n v="1535259600"/>
    <b v="1"/>
    <b v="1"/>
    <s v="technology/web"/>
    <m/>
    <x v="2"/>
    <s v="web"/>
  </r>
  <r>
    <n v="847"/>
    <s v="Miller, Glenn and Adams"/>
    <s v="Distributed actuating project"/>
    <n v="4700"/>
    <n v="11174"/>
    <x v="1"/>
    <n v="110"/>
    <x v="1"/>
    <s v="USD"/>
    <n v="1515304800"/>
    <n v="1515564000"/>
    <b v="0"/>
    <b v="0"/>
    <s v="food/food trucks"/>
    <m/>
    <x v="0"/>
    <s v="food trucks"/>
  </r>
  <r>
    <n v="848"/>
    <s v="Cole, Salazar and Moreno"/>
    <s v="Robust motivating orchestration"/>
    <n v="3200"/>
    <n v="10831"/>
    <x v="1"/>
    <n v="172"/>
    <x v="1"/>
    <s v="USD"/>
    <n v="1276318800"/>
    <n v="1277096400"/>
    <b v="0"/>
    <b v="0"/>
    <s v="film &amp; video/drama"/>
    <m/>
    <x v="4"/>
    <s v="drama"/>
  </r>
  <r>
    <n v="849"/>
    <s v="Jones-Ryan"/>
    <s v="Vision-oriented uniform instruction set"/>
    <n v="6700"/>
    <n v="8917"/>
    <x v="1"/>
    <n v="307"/>
    <x v="1"/>
    <s v="USD"/>
    <n v="1328767200"/>
    <n v="1329026400"/>
    <b v="0"/>
    <b v="1"/>
    <s v="music/indie rock"/>
    <m/>
    <x v="1"/>
    <s v="indie rock"/>
  </r>
  <r>
    <n v="850"/>
    <s v="Hood, Perez and Meadows"/>
    <s v="Cross-group upward-trending hierarchy"/>
    <n v="100"/>
    <n v="1"/>
    <x v="0"/>
    <n v="1"/>
    <x v="1"/>
    <s v="USD"/>
    <n v="1321682400"/>
    <n v="1322978400"/>
    <b v="1"/>
    <b v="0"/>
    <s v="music/rock"/>
    <m/>
    <x v="1"/>
    <s v="rock"/>
  </r>
  <r>
    <n v="851"/>
    <s v="Bright and Sons"/>
    <s v="Object-based needs-based info-mediaries"/>
    <n v="6000"/>
    <n v="12468"/>
    <x v="1"/>
    <n v="160"/>
    <x v="1"/>
    <s v="USD"/>
    <n v="1335934800"/>
    <n v="1338786000"/>
    <b v="0"/>
    <b v="0"/>
    <s v="music/electric music"/>
    <m/>
    <x v="1"/>
    <s v="electric music"/>
  </r>
  <r>
    <n v="852"/>
    <s v="Brady Ltd"/>
    <s v="Open-source reciprocal standardization"/>
    <n v="4900"/>
    <n v="2505"/>
    <x v="0"/>
    <n v="31"/>
    <x v="1"/>
    <s v="USD"/>
    <n v="1310792400"/>
    <n v="1311656400"/>
    <b v="0"/>
    <b v="1"/>
    <s v="games/video games"/>
    <m/>
    <x v="6"/>
    <s v="video games"/>
  </r>
  <r>
    <n v="853"/>
    <s v="Collier LLC"/>
    <s v="Secured well-modulated projection"/>
    <n v="17100"/>
    <n v="111502"/>
    <x v="1"/>
    <n v="1467"/>
    <x v="0"/>
    <s v="CAD"/>
    <n v="1308546000"/>
    <n v="1308978000"/>
    <b v="0"/>
    <b v="1"/>
    <s v="music/indie rock"/>
    <m/>
    <x v="1"/>
    <s v="indie rock"/>
  </r>
  <r>
    <n v="854"/>
    <s v="Campbell, Thomas and Obrien"/>
    <s v="Multi-channeled secondary middleware"/>
    <n v="171000"/>
    <n v="194309"/>
    <x v="1"/>
    <n v="2662"/>
    <x v="0"/>
    <s v="CAD"/>
    <n v="1574056800"/>
    <n v="1576389600"/>
    <b v="0"/>
    <b v="0"/>
    <s v="publishing/fiction"/>
    <m/>
    <x v="5"/>
    <s v="fiction"/>
  </r>
  <r>
    <n v="855"/>
    <s v="Moses-Terry"/>
    <s v="Horizontal clear-thinking framework"/>
    <n v="23400"/>
    <n v="23956"/>
    <x v="1"/>
    <n v="452"/>
    <x v="2"/>
    <s v="AUD"/>
    <n v="1308373200"/>
    <n v="1311051600"/>
    <b v="0"/>
    <b v="0"/>
    <s v="theater/plays"/>
    <m/>
    <x v="3"/>
    <s v="plays"/>
  </r>
  <r>
    <n v="856"/>
    <s v="Williams and Sons"/>
    <s v="Profound composite core"/>
    <n v="2400"/>
    <n v="8558"/>
    <x v="1"/>
    <n v="158"/>
    <x v="1"/>
    <s v="USD"/>
    <n v="1335243600"/>
    <n v="1336712400"/>
    <b v="0"/>
    <b v="0"/>
    <s v="food/food trucks"/>
    <m/>
    <x v="0"/>
    <s v="food trucks"/>
  </r>
  <r>
    <n v="857"/>
    <s v="Miranda, Gray and Hale"/>
    <s v="Programmable disintermediate matrices"/>
    <n v="5300"/>
    <n v="7413"/>
    <x v="1"/>
    <n v="225"/>
    <x v="5"/>
    <s v="CHF"/>
    <n v="1328421600"/>
    <n v="1330408800"/>
    <b v="1"/>
    <b v="0"/>
    <s v="film &amp; video/shorts"/>
    <m/>
    <x v="4"/>
    <s v="shorts"/>
  </r>
  <r>
    <n v="858"/>
    <s v="Ayala, Crawford and Taylor"/>
    <s v="Realigned 5thgeneration knowledge user"/>
    <n v="4000"/>
    <n v="2778"/>
    <x v="0"/>
    <n v="35"/>
    <x v="1"/>
    <s v="USD"/>
    <n v="1524286800"/>
    <n v="1524891600"/>
    <b v="1"/>
    <b v="0"/>
    <s v="food/food trucks"/>
    <m/>
    <x v="0"/>
    <s v="food trucks"/>
  </r>
  <r>
    <n v="859"/>
    <s v="Martinez Ltd"/>
    <s v="Multi-layered upward-trending groupware"/>
    <n v="7300"/>
    <n v="2594"/>
    <x v="0"/>
    <n v="63"/>
    <x v="1"/>
    <s v="USD"/>
    <n v="1362117600"/>
    <n v="1363669200"/>
    <b v="0"/>
    <b v="1"/>
    <s v="theater/plays"/>
    <m/>
    <x v="3"/>
    <s v="plays"/>
  </r>
  <r>
    <n v="860"/>
    <s v="Lee PLC"/>
    <s v="Re-contextualized leadingedge firmware"/>
    <n v="2000"/>
    <n v="5033"/>
    <x v="1"/>
    <n v="65"/>
    <x v="1"/>
    <s v="USD"/>
    <n v="1550556000"/>
    <n v="1551420000"/>
    <b v="0"/>
    <b v="1"/>
    <s v="technology/wearables"/>
    <m/>
    <x v="2"/>
    <s v="wearables"/>
  </r>
  <r>
    <n v="861"/>
    <s v="Young, Ramsey and Powell"/>
    <s v="Devolved disintermediate analyzer"/>
    <n v="8800"/>
    <n v="9317"/>
    <x v="1"/>
    <n v="163"/>
    <x v="1"/>
    <s v="USD"/>
    <n v="1269147600"/>
    <n v="1269838800"/>
    <b v="0"/>
    <b v="0"/>
    <s v="theater/plays"/>
    <m/>
    <x v="3"/>
    <s v="plays"/>
  </r>
  <r>
    <n v="862"/>
    <s v="Lewis and Sons"/>
    <s v="Profound disintermediate open system"/>
    <n v="3500"/>
    <n v="6560"/>
    <x v="1"/>
    <n v="85"/>
    <x v="1"/>
    <s v="USD"/>
    <n v="1312174800"/>
    <n v="1312520400"/>
    <b v="0"/>
    <b v="0"/>
    <s v="theater/plays"/>
    <m/>
    <x v="3"/>
    <s v="plays"/>
  </r>
  <r>
    <n v="863"/>
    <s v="Davis-Johnson"/>
    <s v="Automated reciprocal protocol"/>
    <n v="1400"/>
    <n v="5415"/>
    <x v="1"/>
    <n v="217"/>
    <x v="1"/>
    <s v="USD"/>
    <n v="1434517200"/>
    <n v="1436504400"/>
    <b v="0"/>
    <b v="1"/>
    <s v="film &amp; video/television"/>
    <m/>
    <x v="4"/>
    <s v="television"/>
  </r>
  <r>
    <n v="864"/>
    <s v="Stevenson-Thompson"/>
    <s v="Automated static workforce"/>
    <n v="4200"/>
    <n v="14577"/>
    <x v="1"/>
    <n v="150"/>
    <x v="1"/>
    <s v="USD"/>
    <n v="1471582800"/>
    <n v="1472014800"/>
    <b v="0"/>
    <b v="0"/>
    <s v="film &amp; video/shorts"/>
    <m/>
    <x v="4"/>
    <s v="shorts"/>
  </r>
  <r>
    <n v="865"/>
    <s v="Ellis, Smith and Armstrong"/>
    <s v="Horizontal attitude-oriented help-desk"/>
    <n v="81000"/>
    <n v="150515"/>
    <x v="1"/>
    <n v="3272"/>
    <x v="1"/>
    <s v="USD"/>
    <n v="1410757200"/>
    <n v="1411534800"/>
    <b v="0"/>
    <b v="0"/>
    <s v="theater/plays"/>
    <m/>
    <x v="3"/>
    <s v="plays"/>
  </r>
  <r>
    <n v="866"/>
    <s v="Jackson-Brown"/>
    <s v="Versatile 5thgeneration matrices"/>
    <n v="182800"/>
    <n v="79045"/>
    <x v="3"/>
    <n v="898"/>
    <x v="1"/>
    <s v="USD"/>
    <n v="1304830800"/>
    <n v="1304917200"/>
    <b v="0"/>
    <b v="0"/>
    <s v="photography/photography books"/>
    <m/>
    <x v="7"/>
    <s v="photography books"/>
  </r>
  <r>
    <n v="867"/>
    <s v="Kane, Pruitt and Rivera"/>
    <s v="Cross-platform next generation service-desk"/>
    <n v="4800"/>
    <n v="7797"/>
    <x v="1"/>
    <n v="300"/>
    <x v="1"/>
    <s v="USD"/>
    <n v="1539061200"/>
    <n v="1539579600"/>
    <b v="0"/>
    <b v="0"/>
    <s v="food/food trucks"/>
    <m/>
    <x v="0"/>
    <s v="food trucks"/>
  </r>
  <r>
    <n v="868"/>
    <s v="Wood, Buckley and Meza"/>
    <s v="Front-line web-enabled installation"/>
    <n v="7000"/>
    <n v="12939"/>
    <x v="1"/>
    <n v="126"/>
    <x v="1"/>
    <s v="USD"/>
    <n v="1381554000"/>
    <n v="1382504400"/>
    <b v="0"/>
    <b v="0"/>
    <s v="theater/plays"/>
    <m/>
    <x v="3"/>
    <s v="plays"/>
  </r>
  <r>
    <n v="869"/>
    <s v="Brown-Williams"/>
    <s v="Multi-channeled responsive product"/>
    <n v="161900"/>
    <n v="38376"/>
    <x v="0"/>
    <n v="526"/>
    <x v="1"/>
    <s v="USD"/>
    <n v="1277096400"/>
    <n v="1278306000"/>
    <b v="0"/>
    <b v="0"/>
    <s v="film &amp; video/drama"/>
    <m/>
    <x v="4"/>
    <s v="drama"/>
  </r>
  <r>
    <n v="870"/>
    <s v="Hansen-Austin"/>
    <s v="Adaptive demand-driven encryption"/>
    <n v="7700"/>
    <n v="6920"/>
    <x v="0"/>
    <n v="121"/>
    <x v="1"/>
    <s v="USD"/>
    <n v="1440392400"/>
    <n v="1442552400"/>
    <b v="0"/>
    <b v="0"/>
    <s v="theater/plays"/>
    <m/>
    <x v="3"/>
    <s v="plays"/>
  </r>
  <r>
    <n v="871"/>
    <s v="Santana-George"/>
    <s v="Re-engineered client-driven knowledge user"/>
    <n v="71500"/>
    <n v="194912"/>
    <x v="1"/>
    <n v="2320"/>
    <x v="1"/>
    <s v="USD"/>
    <n v="1509512400"/>
    <n v="1511071200"/>
    <b v="0"/>
    <b v="1"/>
    <s v="theater/plays"/>
    <m/>
    <x v="3"/>
    <s v="plays"/>
  </r>
  <r>
    <n v="872"/>
    <s v="Davis LLC"/>
    <s v="Compatible logistical paradigm"/>
    <n v="4700"/>
    <n v="7992"/>
    <x v="1"/>
    <n v="81"/>
    <x v="2"/>
    <s v="AUD"/>
    <n v="1535950800"/>
    <n v="1536382800"/>
    <b v="0"/>
    <b v="0"/>
    <s v="film &amp; video/science fiction"/>
    <m/>
    <x v="4"/>
    <s v="science fiction"/>
  </r>
  <r>
    <n v="873"/>
    <s v="Vazquez, Ochoa and Clark"/>
    <s v="Intuitive value-added installation"/>
    <n v="42100"/>
    <n v="79268"/>
    <x v="1"/>
    <n v="1887"/>
    <x v="1"/>
    <s v="USD"/>
    <n v="1389160800"/>
    <n v="1389592800"/>
    <b v="0"/>
    <b v="0"/>
    <s v="photography/photography books"/>
    <m/>
    <x v="7"/>
    <s v="photography books"/>
  </r>
  <r>
    <n v="874"/>
    <s v="Chung-Nguyen"/>
    <s v="Managed discrete parallelism"/>
    <n v="40200"/>
    <n v="139468"/>
    <x v="1"/>
    <n v="4358"/>
    <x v="1"/>
    <s v="USD"/>
    <n v="1271998800"/>
    <n v="1275282000"/>
    <b v="0"/>
    <b v="1"/>
    <s v="photography/photography books"/>
    <m/>
    <x v="7"/>
    <s v="photography books"/>
  </r>
  <r>
    <n v="875"/>
    <s v="Mueller-Harmon"/>
    <s v="Implemented tangible approach"/>
    <n v="7900"/>
    <n v="5465"/>
    <x v="0"/>
    <n v="67"/>
    <x v="1"/>
    <s v="USD"/>
    <n v="1294898400"/>
    <n v="1294984800"/>
    <b v="0"/>
    <b v="0"/>
    <s v="music/rock"/>
    <m/>
    <x v="1"/>
    <s v="rock"/>
  </r>
  <r>
    <n v="876"/>
    <s v="Dixon, Perez and Banks"/>
    <s v="Re-engineered encompassing definition"/>
    <n v="8300"/>
    <n v="2111"/>
    <x v="0"/>
    <n v="57"/>
    <x v="0"/>
    <s v="CAD"/>
    <n v="1559970000"/>
    <n v="1562043600"/>
    <b v="0"/>
    <b v="0"/>
    <s v="photography/photography books"/>
    <m/>
    <x v="7"/>
    <s v="photography books"/>
  </r>
  <r>
    <n v="877"/>
    <s v="Estrada Group"/>
    <s v="Multi-lateral uniform collaboration"/>
    <n v="163600"/>
    <n v="126628"/>
    <x v="0"/>
    <n v="1229"/>
    <x v="1"/>
    <s v="USD"/>
    <n v="1469509200"/>
    <n v="1469595600"/>
    <b v="0"/>
    <b v="0"/>
    <s v="food/food trucks"/>
    <m/>
    <x v="0"/>
    <s v="food trucks"/>
  </r>
  <r>
    <n v="878"/>
    <s v="Lutz Group"/>
    <s v="Enterprise-wide foreground paradigm"/>
    <n v="2700"/>
    <n v="1012"/>
    <x v="0"/>
    <n v="12"/>
    <x v="6"/>
    <s v="EUR"/>
    <n v="1579068000"/>
    <n v="1581141600"/>
    <b v="0"/>
    <b v="0"/>
    <s v="music/metal"/>
    <m/>
    <x v="1"/>
    <s v="metal"/>
  </r>
  <r>
    <n v="879"/>
    <s v="Ortiz Inc"/>
    <s v="Stand-alone incremental parallelism"/>
    <n v="1000"/>
    <n v="5438"/>
    <x v="1"/>
    <n v="53"/>
    <x v="1"/>
    <s v="USD"/>
    <n v="1487743200"/>
    <n v="1488520800"/>
    <b v="0"/>
    <b v="0"/>
    <s v="publishing/nonfiction"/>
    <m/>
    <x v="5"/>
    <s v="nonfiction"/>
  </r>
  <r>
    <n v="880"/>
    <s v="Craig, Ellis and Miller"/>
    <s v="Persevering 5thgeneration throughput"/>
    <n v="84500"/>
    <n v="193101"/>
    <x v="1"/>
    <n v="2414"/>
    <x v="1"/>
    <s v="USD"/>
    <n v="1563685200"/>
    <n v="1563858000"/>
    <b v="0"/>
    <b v="0"/>
    <s v="music/electric music"/>
    <m/>
    <x v="1"/>
    <s v="electric music"/>
  </r>
  <r>
    <n v="881"/>
    <s v="Charles Inc"/>
    <s v="Implemented object-oriented synergy"/>
    <n v="81300"/>
    <n v="31665"/>
    <x v="0"/>
    <n v="452"/>
    <x v="1"/>
    <s v="USD"/>
    <n v="1436418000"/>
    <n v="1438923600"/>
    <b v="0"/>
    <b v="1"/>
    <s v="theater/plays"/>
    <m/>
    <x v="3"/>
    <s v="plays"/>
  </r>
  <r>
    <n v="882"/>
    <s v="White-Rosario"/>
    <s v="Balanced demand-driven definition"/>
    <n v="800"/>
    <n v="2960"/>
    <x v="1"/>
    <n v="80"/>
    <x v="1"/>
    <s v="USD"/>
    <n v="1421820000"/>
    <n v="1422165600"/>
    <b v="0"/>
    <b v="0"/>
    <s v="theater/plays"/>
    <m/>
    <x v="3"/>
    <s v="plays"/>
  </r>
  <r>
    <n v="883"/>
    <s v="Simmons-Villarreal"/>
    <s v="Customer-focused mobile Graphic Interface"/>
    <n v="3400"/>
    <n v="8089"/>
    <x v="1"/>
    <n v="193"/>
    <x v="1"/>
    <s v="USD"/>
    <n v="1274763600"/>
    <n v="1277874000"/>
    <b v="0"/>
    <b v="0"/>
    <s v="film &amp; video/shorts"/>
    <m/>
    <x v="4"/>
    <s v="shorts"/>
  </r>
  <r>
    <n v="884"/>
    <s v="Strickland Group"/>
    <s v="Horizontal secondary interface"/>
    <n v="170800"/>
    <n v="109374"/>
    <x v="0"/>
    <n v="1886"/>
    <x v="1"/>
    <s v="USD"/>
    <n v="1399179600"/>
    <n v="1399352400"/>
    <b v="0"/>
    <b v="1"/>
    <s v="theater/plays"/>
    <m/>
    <x v="3"/>
    <s v="plays"/>
  </r>
  <r>
    <n v="885"/>
    <s v="Lynch Ltd"/>
    <s v="Virtual analyzing collaboration"/>
    <n v="1800"/>
    <n v="2129"/>
    <x v="1"/>
    <n v="52"/>
    <x v="1"/>
    <s v="USD"/>
    <n v="1275800400"/>
    <n v="1279083600"/>
    <b v="0"/>
    <b v="0"/>
    <s v="theater/plays"/>
    <m/>
    <x v="3"/>
    <s v="plays"/>
  </r>
  <r>
    <n v="886"/>
    <s v="Sanders LLC"/>
    <s v="Multi-tiered explicit focus group"/>
    <n v="150600"/>
    <n v="127745"/>
    <x v="0"/>
    <n v="1825"/>
    <x v="1"/>
    <s v="USD"/>
    <n v="1282798800"/>
    <n v="1284354000"/>
    <b v="0"/>
    <b v="0"/>
    <s v="music/indie rock"/>
    <m/>
    <x v="1"/>
    <s v="indie rock"/>
  </r>
  <r>
    <n v="887"/>
    <s v="Cooper LLC"/>
    <s v="Multi-layered systematic knowledgebase"/>
    <n v="7800"/>
    <n v="2289"/>
    <x v="0"/>
    <n v="31"/>
    <x v="1"/>
    <s v="USD"/>
    <n v="1437109200"/>
    <n v="1441170000"/>
    <b v="0"/>
    <b v="1"/>
    <s v="theater/plays"/>
    <m/>
    <x v="3"/>
    <s v="plays"/>
  </r>
  <r>
    <n v="888"/>
    <s v="Palmer Ltd"/>
    <s v="Reverse-engineered uniform knowledge user"/>
    <n v="5800"/>
    <n v="12174"/>
    <x v="1"/>
    <n v="290"/>
    <x v="1"/>
    <s v="USD"/>
    <n v="1491886800"/>
    <n v="1493528400"/>
    <b v="0"/>
    <b v="0"/>
    <s v="theater/plays"/>
    <m/>
    <x v="3"/>
    <s v="plays"/>
  </r>
  <r>
    <n v="889"/>
    <s v="Santos Group"/>
    <s v="Secured dynamic capacity"/>
    <n v="5600"/>
    <n v="9508"/>
    <x v="1"/>
    <n v="122"/>
    <x v="1"/>
    <s v="USD"/>
    <n v="1394600400"/>
    <n v="1395205200"/>
    <b v="0"/>
    <b v="1"/>
    <s v="music/electric music"/>
    <m/>
    <x v="1"/>
    <s v="electric music"/>
  </r>
  <r>
    <n v="890"/>
    <s v="Christian, Kim and Jimenez"/>
    <s v="Devolved foreground throughput"/>
    <n v="134400"/>
    <n v="155849"/>
    <x v="1"/>
    <n v="1470"/>
    <x v="1"/>
    <s v="USD"/>
    <n v="1561352400"/>
    <n v="1561438800"/>
    <b v="0"/>
    <b v="0"/>
    <s v="music/indie rock"/>
    <m/>
    <x v="1"/>
    <s v="indie rock"/>
  </r>
  <r>
    <n v="891"/>
    <s v="Williams, Price and Hurley"/>
    <s v="Synchronized demand-driven infrastructure"/>
    <n v="3000"/>
    <n v="7758"/>
    <x v="1"/>
    <n v="165"/>
    <x v="0"/>
    <s v="CAD"/>
    <n v="1322892000"/>
    <n v="1326693600"/>
    <b v="0"/>
    <b v="0"/>
    <s v="film &amp; video/documentary"/>
    <m/>
    <x v="4"/>
    <s v="documentary"/>
  </r>
  <r>
    <n v="892"/>
    <s v="Anderson, Parks and Estrada"/>
    <s v="Realigned discrete structure"/>
    <n v="6000"/>
    <n v="13835"/>
    <x v="1"/>
    <n v="182"/>
    <x v="1"/>
    <s v="USD"/>
    <n v="1274418000"/>
    <n v="1277960400"/>
    <b v="0"/>
    <b v="0"/>
    <s v="publishing/translations"/>
    <m/>
    <x v="5"/>
    <s v="translations"/>
  </r>
  <r>
    <n v="893"/>
    <s v="Collins-Martinez"/>
    <s v="Progressive grid-enabled website"/>
    <n v="8400"/>
    <n v="10770"/>
    <x v="1"/>
    <n v="199"/>
    <x v="6"/>
    <s v="EUR"/>
    <n v="1434344400"/>
    <n v="1434690000"/>
    <b v="0"/>
    <b v="1"/>
    <s v="film &amp; video/documentary"/>
    <m/>
    <x v="4"/>
    <s v="documentary"/>
  </r>
  <r>
    <n v="894"/>
    <s v="Barrett Inc"/>
    <s v="Organic cohesive neural-net"/>
    <n v="1700"/>
    <n v="3208"/>
    <x v="1"/>
    <n v="56"/>
    <x v="4"/>
    <s v="GBP"/>
    <n v="1373518800"/>
    <n v="1376110800"/>
    <b v="0"/>
    <b v="1"/>
    <s v="film &amp; video/television"/>
    <m/>
    <x v="4"/>
    <s v="television"/>
  </r>
  <r>
    <n v="895"/>
    <s v="Adams-Rollins"/>
    <s v="Integrated demand-driven info-mediaries"/>
    <n v="159800"/>
    <n v="11108"/>
    <x v="0"/>
    <n v="107"/>
    <x v="1"/>
    <s v="USD"/>
    <n v="1517637600"/>
    <n v="1518415200"/>
    <b v="0"/>
    <b v="0"/>
    <s v="theater/plays"/>
    <m/>
    <x v="3"/>
    <s v="plays"/>
  </r>
  <r>
    <n v="896"/>
    <s v="Wright-Bryant"/>
    <s v="Reverse-engineered client-server extranet"/>
    <n v="19800"/>
    <n v="153338"/>
    <x v="1"/>
    <n v="1460"/>
    <x v="2"/>
    <s v="AUD"/>
    <n v="1310619600"/>
    <n v="1310878800"/>
    <b v="0"/>
    <b v="1"/>
    <s v="food/food trucks"/>
    <m/>
    <x v="0"/>
    <s v="food trucks"/>
  </r>
  <r>
    <n v="897"/>
    <s v="Berry-Cannon"/>
    <s v="Organized discrete encoding"/>
    <n v="8800"/>
    <n v="2437"/>
    <x v="0"/>
    <n v="27"/>
    <x v="1"/>
    <s v="USD"/>
    <n v="1556427600"/>
    <n v="1556600400"/>
    <b v="0"/>
    <b v="0"/>
    <s v="theater/plays"/>
    <m/>
    <x v="3"/>
    <s v="plays"/>
  </r>
  <r>
    <n v="898"/>
    <s v="Davis-Gonzalez"/>
    <s v="Balanced regional flexibility"/>
    <n v="179100"/>
    <n v="93991"/>
    <x v="0"/>
    <n v="1221"/>
    <x v="1"/>
    <s v="USD"/>
    <n v="1576476000"/>
    <n v="1576994400"/>
    <b v="0"/>
    <b v="0"/>
    <s v="film &amp; video/documentary"/>
    <m/>
    <x v="4"/>
    <s v="documentary"/>
  </r>
  <r>
    <n v="899"/>
    <s v="Best-Young"/>
    <s v="Implemented multimedia time-frame"/>
    <n v="3100"/>
    <n v="12620"/>
    <x v="1"/>
    <n v="123"/>
    <x v="5"/>
    <s v="CHF"/>
    <n v="1381122000"/>
    <n v="1382677200"/>
    <b v="0"/>
    <b v="0"/>
    <s v="music/jazz"/>
    <m/>
    <x v="1"/>
    <s v="jazz"/>
  </r>
  <r>
    <n v="900"/>
    <s v="Powers, Smith and Deleon"/>
    <s v="Enhanced uniform service-desk"/>
    <n v="100"/>
    <n v="2"/>
    <x v="0"/>
    <n v="1"/>
    <x v="1"/>
    <s v="USD"/>
    <n v="1411102800"/>
    <n v="1411189200"/>
    <b v="0"/>
    <b v="1"/>
    <s v="technology/web"/>
    <m/>
    <x v="2"/>
    <s v="web"/>
  </r>
  <r>
    <n v="901"/>
    <s v="Hogan Group"/>
    <s v="Versatile bottom-line definition"/>
    <n v="5600"/>
    <n v="8746"/>
    <x v="1"/>
    <n v="159"/>
    <x v="1"/>
    <s v="USD"/>
    <n v="1531803600"/>
    <n v="1534654800"/>
    <b v="0"/>
    <b v="1"/>
    <s v="music/rock"/>
    <m/>
    <x v="1"/>
    <s v="rock"/>
  </r>
  <r>
    <n v="902"/>
    <s v="Wang, Silva and Byrd"/>
    <s v="Integrated bifurcated software"/>
    <n v="1400"/>
    <n v="3534"/>
    <x v="1"/>
    <n v="110"/>
    <x v="1"/>
    <s v="USD"/>
    <n v="1454133600"/>
    <n v="1457762400"/>
    <b v="0"/>
    <b v="0"/>
    <s v="technology/web"/>
    <m/>
    <x v="2"/>
    <s v="web"/>
  </r>
  <r>
    <n v="903"/>
    <s v="Parker-Morris"/>
    <s v="Assimilated next generation instruction set"/>
    <n v="41000"/>
    <n v="709"/>
    <x v="2"/>
    <n v="14"/>
    <x v="1"/>
    <s v="USD"/>
    <n v="1336194000"/>
    <n v="1337490000"/>
    <b v="0"/>
    <b v="1"/>
    <s v="publishing/nonfiction"/>
    <m/>
    <x v="5"/>
    <s v="nonfiction"/>
  </r>
  <r>
    <n v="904"/>
    <s v="Rodriguez, Johnson and Jackson"/>
    <s v="Digitized foreground array"/>
    <n v="6500"/>
    <n v="795"/>
    <x v="0"/>
    <n v="16"/>
    <x v="1"/>
    <s v="USD"/>
    <n v="1349326800"/>
    <n v="1349672400"/>
    <b v="0"/>
    <b v="0"/>
    <s v="publishing/radio &amp; podcasts"/>
    <m/>
    <x v="5"/>
    <s v="radio &amp; podcasts"/>
  </r>
  <r>
    <n v="905"/>
    <s v="Haynes PLC"/>
    <s v="Re-engineered clear-thinking project"/>
    <n v="7900"/>
    <n v="12955"/>
    <x v="1"/>
    <n v="236"/>
    <x v="1"/>
    <s v="USD"/>
    <n v="1379566800"/>
    <n v="1379826000"/>
    <b v="0"/>
    <b v="0"/>
    <s v="theater/plays"/>
    <m/>
    <x v="3"/>
    <s v="plays"/>
  </r>
  <r>
    <n v="906"/>
    <s v="Hayes Group"/>
    <s v="Implemented even-keeled standardization"/>
    <n v="5500"/>
    <n v="8964"/>
    <x v="1"/>
    <n v="191"/>
    <x v="1"/>
    <s v="USD"/>
    <n v="1494651600"/>
    <n v="1497762000"/>
    <b v="1"/>
    <b v="1"/>
    <s v="film &amp; video/documentary"/>
    <m/>
    <x v="4"/>
    <s v="documentary"/>
  </r>
  <r>
    <n v="907"/>
    <s v="White, Pena and Calhoun"/>
    <s v="Quality-focused asymmetric adapter"/>
    <n v="9100"/>
    <n v="1843"/>
    <x v="0"/>
    <n v="41"/>
    <x v="1"/>
    <s v="USD"/>
    <n v="1303880400"/>
    <n v="1304485200"/>
    <b v="0"/>
    <b v="0"/>
    <s v="theater/plays"/>
    <m/>
    <x v="3"/>
    <s v="plays"/>
  </r>
  <r>
    <n v="908"/>
    <s v="Bryant-Pope"/>
    <s v="Networked intangible help-desk"/>
    <n v="38200"/>
    <n v="121950"/>
    <x v="1"/>
    <n v="3934"/>
    <x v="1"/>
    <s v="USD"/>
    <n v="1335934800"/>
    <n v="1336885200"/>
    <b v="0"/>
    <b v="0"/>
    <s v="games/video games"/>
    <m/>
    <x v="6"/>
    <s v="video games"/>
  </r>
  <r>
    <n v="909"/>
    <s v="Gates, Li and Thompson"/>
    <s v="Synchronized attitude-oriented frame"/>
    <n v="1800"/>
    <n v="8621"/>
    <x v="1"/>
    <n v="80"/>
    <x v="0"/>
    <s v="CAD"/>
    <n v="1528088400"/>
    <n v="1530421200"/>
    <b v="0"/>
    <b v="1"/>
    <s v="theater/plays"/>
    <m/>
    <x v="3"/>
    <s v="plays"/>
  </r>
  <r>
    <n v="910"/>
    <s v="King-Morris"/>
    <s v="Proactive incremental architecture"/>
    <n v="154500"/>
    <n v="30215"/>
    <x v="3"/>
    <n v="296"/>
    <x v="1"/>
    <s v="USD"/>
    <n v="1421906400"/>
    <n v="1421992800"/>
    <b v="0"/>
    <b v="0"/>
    <s v="theater/plays"/>
    <m/>
    <x v="3"/>
    <s v="plays"/>
  </r>
  <r>
    <n v="911"/>
    <s v="Carter, Cole and Curtis"/>
    <s v="Cloned responsive standardization"/>
    <n v="5800"/>
    <n v="11539"/>
    <x v="1"/>
    <n v="462"/>
    <x v="1"/>
    <s v="USD"/>
    <n v="1568005200"/>
    <n v="1568178000"/>
    <b v="1"/>
    <b v="0"/>
    <s v="technology/web"/>
    <m/>
    <x v="2"/>
    <s v="web"/>
  </r>
  <r>
    <n v="912"/>
    <s v="Sanchez-Parsons"/>
    <s v="Reduced bifurcated pricing structure"/>
    <n v="1800"/>
    <n v="14310"/>
    <x v="1"/>
    <n v="179"/>
    <x v="1"/>
    <s v="USD"/>
    <n v="1346821200"/>
    <n v="1347944400"/>
    <b v="1"/>
    <b v="0"/>
    <s v="film &amp; video/drama"/>
    <m/>
    <x v="4"/>
    <s v="drama"/>
  </r>
  <r>
    <n v="913"/>
    <s v="Rivera-Pearson"/>
    <s v="Re-engineered asymmetric challenge"/>
    <n v="70200"/>
    <n v="35536"/>
    <x v="0"/>
    <n v="523"/>
    <x v="2"/>
    <s v="AUD"/>
    <n v="1557637200"/>
    <n v="1558760400"/>
    <b v="0"/>
    <b v="0"/>
    <s v="film &amp; video/drama"/>
    <m/>
    <x v="4"/>
    <s v="drama"/>
  </r>
  <r>
    <n v="914"/>
    <s v="Ramirez, Padilla and Barrera"/>
    <s v="Diverse client-driven conglomeration"/>
    <n v="6400"/>
    <n v="3676"/>
    <x v="0"/>
    <n v="141"/>
    <x v="4"/>
    <s v="GBP"/>
    <n v="1375592400"/>
    <n v="1376629200"/>
    <b v="0"/>
    <b v="0"/>
    <s v="theater/plays"/>
    <m/>
    <x v="3"/>
    <s v="plays"/>
  </r>
  <r>
    <n v="915"/>
    <s v="Riggs Group"/>
    <s v="Configurable upward-trending solution"/>
    <n v="125900"/>
    <n v="195936"/>
    <x v="1"/>
    <n v="1866"/>
    <x v="4"/>
    <s v="GBP"/>
    <n v="1503982800"/>
    <n v="1504760400"/>
    <b v="0"/>
    <b v="0"/>
    <s v="film &amp; video/television"/>
    <m/>
    <x v="4"/>
    <s v="television"/>
  </r>
  <r>
    <n v="916"/>
    <s v="Clements Ltd"/>
    <s v="Persistent bandwidth-monitored framework"/>
    <n v="3700"/>
    <n v="1343"/>
    <x v="0"/>
    <n v="52"/>
    <x v="1"/>
    <s v="USD"/>
    <n v="1418882400"/>
    <n v="1419660000"/>
    <b v="0"/>
    <b v="0"/>
    <s v="photography/photography books"/>
    <m/>
    <x v="7"/>
    <s v="photography books"/>
  </r>
  <r>
    <n v="917"/>
    <s v="Cooper Inc"/>
    <s v="Polarized discrete product"/>
    <n v="3600"/>
    <n v="2097"/>
    <x v="2"/>
    <n v="27"/>
    <x v="4"/>
    <s v="GBP"/>
    <n v="1309237200"/>
    <n v="1311310800"/>
    <b v="0"/>
    <b v="1"/>
    <s v="film &amp; video/shorts"/>
    <m/>
    <x v="4"/>
    <s v="shorts"/>
  </r>
  <r>
    <n v="918"/>
    <s v="Jones-Gonzalez"/>
    <s v="Seamless dynamic website"/>
    <n v="3800"/>
    <n v="9021"/>
    <x v="1"/>
    <n v="156"/>
    <x v="5"/>
    <s v="CHF"/>
    <n v="1343365200"/>
    <n v="1344315600"/>
    <b v="0"/>
    <b v="0"/>
    <s v="publishing/radio &amp; podcasts"/>
    <m/>
    <x v="5"/>
    <s v="radio &amp; podcasts"/>
  </r>
  <r>
    <n v="919"/>
    <s v="Fox Ltd"/>
    <s v="Extended multimedia firmware"/>
    <n v="35600"/>
    <n v="20915"/>
    <x v="0"/>
    <n v="225"/>
    <x v="2"/>
    <s v="AUD"/>
    <n v="1507957200"/>
    <n v="1510725600"/>
    <b v="0"/>
    <b v="1"/>
    <s v="theater/plays"/>
    <m/>
    <x v="3"/>
    <s v="plays"/>
  </r>
  <r>
    <n v="920"/>
    <s v="Green, Murphy and Webb"/>
    <s v="Versatile directional project"/>
    <n v="5300"/>
    <n v="9676"/>
    <x v="1"/>
    <n v="255"/>
    <x v="1"/>
    <s v="USD"/>
    <n v="1549519200"/>
    <n v="1551247200"/>
    <b v="1"/>
    <b v="0"/>
    <s v="film &amp; video/animation"/>
    <m/>
    <x v="4"/>
    <s v="animation"/>
  </r>
  <r>
    <n v="921"/>
    <s v="Stevenson PLC"/>
    <s v="Profound directional knowledge user"/>
    <n v="160400"/>
    <n v="1210"/>
    <x v="0"/>
    <n v="38"/>
    <x v="1"/>
    <s v="USD"/>
    <n v="1329026400"/>
    <n v="1330236000"/>
    <b v="0"/>
    <b v="0"/>
    <s v="technology/web"/>
    <m/>
    <x v="2"/>
    <s v="web"/>
  </r>
  <r>
    <n v="922"/>
    <s v="Soto-Anthony"/>
    <s v="Ameliorated logistical capability"/>
    <n v="51400"/>
    <n v="90440"/>
    <x v="1"/>
    <n v="2261"/>
    <x v="1"/>
    <s v="USD"/>
    <n v="1544335200"/>
    <n v="1545112800"/>
    <b v="0"/>
    <b v="1"/>
    <s v="music/world music"/>
    <m/>
    <x v="1"/>
    <s v="world music"/>
  </r>
  <r>
    <n v="923"/>
    <s v="Wise and Sons"/>
    <s v="Sharable discrete definition"/>
    <n v="1700"/>
    <n v="4044"/>
    <x v="1"/>
    <n v="40"/>
    <x v="1"/>
    <s v="USD"/>
    <n v="1279083600"/>
    <n v="1279170000"/>
    <b v="0"/>
    <b v="0"/>
    <s v="theater/plays"/>
    <m/>
    <x v="3"/>
    <s v="plays"/>
  </r>
  <r>
    <n v="924"/>
    <s v="Butler-Barr"/>
    <s v="User-friendly next generation core"/>
    <n v="39400"/>
    <n v="192292"/>
    <x v="1"/>
    <n v="2289"/>
    <x v="6"/>
    <s v="EUR"/>
    <n v="1572498000"/>
    <n v="1573452000"/>
    <b v="0"/>
    <b v="0"/>
    <s v="theater/plays"/>
    <m/>
    <x v="3"/>
    <s v="plays"/>
  </r>
  <r>
    <n v="925"/>
    <s v="Wilson, Jefferson and Anderson"/>
    <s v="Profit-focused empowering system engine"/>
    <n v="3000"/>
    <n v="6722"/>
    <x v="1"/>
    <n v="65"/>
    <x v="1"/>
    <s v="USD"/>
    <n v="1506056400"/>
    <n v="1507093200"/>
    <b v="0"/>
    <b v="0"/>
    <s v="theater/plays"/>
    <m/>
    <x v="3"/>
    <s v="plays"/>
  </r>
  <r>
    <n v="926"/>
    <s v="Brown-Oliver"/>
    <s v="Synchronized cohesive encoding"/>
    <n v="8700"/>
    <n v="1577"/>
    <x v="0"/>
    <n v="15"/>
    <x v="1"/>
    <s v="USD"/>
    <n v="1463029200"/>
    <n v="1463374800"/>
    <b v="0"/>
    <b v="0"/>
    <s v="food/food trucks"/>
    <m/>
    <x v="0"/>
    <s v="food trucks"/>
  </r>
  <r>
    <n v="927"/>
    <s v="Davis-Gardner"/>
    <s v="Synergistic dynamic utilization"/>
    <n v="7200"/>
    <n v="3301"/>
    <x v="0"/>
    <n v="37"/>
    <x v="1"/>
    <s v="USD"/>
    <n v="1342069200"/>
    <n v="1344574800"/>
    <b v="0"/>
    <b v="0"/>
    <s v="theater/plays"/>
    <m/>
    <x v="3"/>
    <s v="plays"/>
  </r>
  <r>
    <n v="928"/>
    <s v="Dawson Group"/>
    <s v="Triple-buffered bi-directional model"/>
    <n v="167400"/>
    <n v="196386"/>
    <x v="1"/>
    <n v="3777"/>
    <x v="6"/>
    <s v="EUR"/>
    <n v="1388296800"/>
    <n v="1389074400"/>
    <b v="0"/>
    <b v="0"/>
    <s v="technology/web"/>
    <m/>
    <x v="2"/>
    <s v="web"/>
  </r>
  <r>
    <n v="929"/>
    <s v="Turner-Terrell"/>
    <s v="Polarized tertiary function"/>
    <n v="5500"/>
    <n v="11952"/>
    <x v="1"/>
    <n v="184"/>
    <x v="4"/>
    <s v="GBP"/>
    <n v="1493787600"/>
    <n v="1494997200"/>
    <b v="0"/>
    <b v="0"/>
    <s v="theater/plays"/>
    <m/>
    <x v="3"/>
    <s v="plays"/>
  </r>
  <r>
    <n v="930"/>
    <s v="Hall, Buchanan and Benton"/>
    <s v="Configurable fault-tolerant structure"/>
    <n v="3500"/>
    <n v="3930"/>
    <x v="1"/>
    <n v="85"/>
    <x v="1"/>
    <s v="USD"/>
    <n v="1424844000"/>
    <n v="1425448800"/>
    <b v="0"/>
    <b v="1"/>
    <s v="theater/plays"/>
    <m/>
    <x v="3"/>
    <s v="plays"/>
  </r>
  <r>
    <n v="931"/>
    <s v="Lowery, Hayden and Cruz"/>
    <s v="Digitized 24/7 budgetary management"/>
    <n v="7900"/>
    <n v="5729"/>
    <x v="0"/>
    <n v="112"/>
    <x v="1"/>
    <s v="USD"/>
    <n v="1403931600"/>
    <n v="1404104400"/>
    <b v="0"/>
    <b v="1"/>
    <s v="theater/plays"/>
    <m/>
    <x v="3"/>
    <s v="plays"/>
  </r>
  <r>
    <n v="932"/>
    <s v="Mora, Miller and Harper"/>
    <s v="Stand-alone zero tolerance algorithm"/>
    <n v="2300"/>
    <n v="4883"/>
    <x v="1"/>
    <n v="144"/>
    <x v="1"/>
    <s v="USD"/>
    <n v="1394514000"/>
    <n v="1394773200"/>
    <b v="0"/>
    <b v="0"/>
    <s v="music/rock"/>
    <m/>
    <x v="1"/>
    <s v="rock"/>
  </r>
  <r>
    <n v="933"/>
    <s v="Espinoza Group"/>
    <s v="Implemented tangible support"/>
    <n v="73000"/>
    <n v="175015"/>
    <x v="1"/>
    <n v="1902"/>
    <x v="1"/>
    <s v="USD"/>
    <n v="1365397200"/>
    <n v="1366520400"/>
    <b v="0"/>
    <b v="0"/>
    <s v="theater/plays"/>
    <m/>
    <x v="3"/>
    <s v="plays"/>
  </r>
  <r>
    <n v="934"/>
    <s v="Davis, Crawford and Lopez"/>
    <s v="Reactive radical framework"/>
    <n v="6200"/>
    <n v="11280"/>
    <x v="1"/>
    <n v="105"/>
    <x v="1"/>
    <s v="USD"/>
    <n v="1456120800"/>
    <n v="1456639200"/>
    <b v="0"/>
    <b v="0"/>
    <s v="theater/plays"/>
    <m/>
    <x v="3"/>
    <s v="plays"/>
  </r>
  <r>
    <n v="935"/>
    <s v="Richards, Stevens and Fleming"/>
    <s v="Object-based full-range knowledge user"/>
    <n v="6100"/>
    <n v="10012"/>
    <x v="1"/>
    <n v="132"/>
    <x v="1"/>
    <s v="USD"/>
    <n v="1437714000"/>
    <n v="1438318800"/>
    <b v="0"/>
    <b v="0"/>
    <s v="theater/plays"/>
    <m/>
    <x v="3"/>
    <s v="plays"/>
  </r>
  <r>
    <n v="936"/>
    <s v="Brown Ltd"/>
    <s v="Enhanced composite contingency"/>
    <n v="103200"/>
    <n v="1690"/>
    <x v="0"/>
    <n v="21"/>
    <x v="1"/>
    <s v="USD"/>
    <n v="1563771600"/>
    <n v="1564030800"/>
    <b v="1"/>
    <b v="0"/>
    <s v="theater/plays"/>
    <m/>
    <x v="3"/>
    <s v="plays"/>
  </r>
  <r>
    <n v="937"/>
    <s v="Tapia, Sandoval and Hurley"/>
    <s v="Cloned fresh-thinking model"/>
    <n v="171000"/>
    <n v="84891"/>
    <x v="3"/>
    <n v="976"/>
    <x v="1"/>
    <s v="USD"/>
    <n v="1448517600"/>
    <n v="1449295200"/>
    <b v="0"/>
    <b v="0"/>
    <s v="film &amp; video/documentary"/>
    <m/>
    <x v="4"/>
    <s v="documentary"/>
  </r>
  <r>
    <n v="938"/>
    <s v="Allen Inc"/>
    <s v="Total dedicated benchmark"/>
    <n v="9200"/>
    <n v="10093"/>
    <x v="1"/>
    <n v="96"/>
    <x v="1"/>
    <s v="USD"/>
    <n v="1528779600"/>
    <n v="1531890000"/>
    <b v="0"/>
    <b v="1"/>
    <s v="publishing/fiction"/>
    <m/>
    <x v="5"/>
    <s v="fiction"/>
  </r>
  <r>
    <n v="939"/>
    <s v="Williams, Johnson and Campbell"/>
    <s v="Streamlined human-resource Graphic Interface"/>
    <n v="7800"/>
    <n v="3839"/>
    <x v="0"/>
    <n v="67"/>
    <x v="1"/>
    <s v="USD"/>
    <n v="1304744400"/>
    <n v="1306213200"/>
    <b v="0"/>
    <b v="1"/>
    <s v="games/video games"/>
    <m/>
    <x v="6"/>
    <s v="video games"/>
  </r>
  <r>
    <n v="940"/>
    <s v="Wiggins Ltd"/>
    <s v="Upgradable analyzing core"/>
    <n v="9900"/>
    <n v="6161"/>
    <x v="2"/>
    <n v="66"/>
    <x v="0"/>
    <s v="CAD"/>
    <n v="1354341600"/>
    <n v="1356242400"/>
    <b v="0"/>
    <b v="0"/>
    <s v="technology/web"/>
    <m/>
    <x v="2"/>
    <s v="web"/>
  </r>
  <r>
    <n v="941"/>
    <s v="Luna-Horne"/>
    <s v="Profound exuding pricing structure"/>
    <n v="43000"/>
    <n v="5615"/>
    <x v="0"/>
    <n v="78"/>
    <x v="1"/>
    <s v="USD"/>
    <n v="1294552800"/>
    <n v="1297576800"/>
    <b v="1"/>
    <b v="0"/>
    <s v="theater/plays"/>
    <m/>
    <x v="3"/>
    <s v="plays"/>
  </r>
  <r>
    <n v="942"/>
    <s v="Allen Inc"/>
    <s v="Horizontal optimizing model"/>
    <n v="9600"/>
    <n v="6205"/>
    <x v="0"/>
    <n v="67"/>
    <x v="2"/>
    <s v="AUD"/>
    <n v="1295935200"/>
    <n v="1296194400"/>
    <b v="0"/>
    <b v="0"/>
    <s v="theater/plays"/>
    <m/>
    <x v="3"/>
    <s v="plays"/>
  </r>
  <r>
    <n v="943"/>
    <s v="Peterson, Gonzalez and Spencer"/>
    <s v="Synchronized fault-tolerant algorithm"/>
    <n v="7500"/>
    <n v="11969"/>
    <x v="1"/>
    <n v="114"/>
    <x v="1"/>
    <s v="USD"/>
    <n v="1411534800"/>
    <n v="1414558800"/>
    <b v="0"/>
    <b v="0"/>
    <s v="food/food trucks"/>
    <m/>
    <x v="0"/>
    <s v="food trucks"/>
  </r>
  <r>
    <n v="944"/>
    <s v="Walter Inc"/>
    <s v="Streamlined 5thgeneration intranet"/>
    <n v="10000"/>
    <n v="8142"/>
    <x v="0"/>
    <n v="263"/>
    <x v="2"/>
    <s v="AUD"/>
    <n v="1486706400"/>
    <n v="1488348000"/>
    <b v="0"/>
    <b v="0"/>
    <s v="photography/photography books"/>
    <m/>
    <x v="7"/>
    <s v="photography books"/>
  </r>
  <r>
    <n v="945"/>
    <s v="Sanders, Farley and Huffman"/>
    <s v="Cross-group clear-thinking task-force"/>
    <n v="172000"/>
    <n v="55805"/>
    <x v="0"/>
    <n v="1691"/>
    <x v="1"/>
    <s v="USD"/>
    <n v="1333602000"/>
    <n v="1334898000"/>
    <b v="1"/>
    <b v="0"/>
    <s v="photography/photography books"/>
    <m/>
    <x v="7"/>
    <s v="photography books"/>
  </r>
  <r>
    <n v="946"/>
    <s v="Hall, Holmes and Walker"/>
    <s v="Public-key bandwidth-monitored intranet"/>
    <n v="153700"/>
    <n v="15238"/>
    <x v="0"/>
    <n v="181"/>
    <x v="1"/>
    <s v="USD"/>
    <n v="1308200400"/>
    <n v="1308373200"/>
    <b v="0"/>
    <b v="0"/>
    <s v="theater/plays"/>
    <m/>
    <x v="3"/>
    <s v="plays"/>
  </r>
  <r>
    <n v="947"/>
    <s v="Smith-Powell"/>
    <s v="Upgradable clear-thinking hardware"/>
    <n v="3600"/>
    <n v="961"/>
    <x v="0"/>
    <n v="13"/>
    <x v="1"/>
    <s v="USD"/>
    <n v="1411707600"/>
    <n v="1412312400"/>
    <b v="0"/>
    <b v="0"/>
    <s v="theater/plays"/>
    <m/>
    <x v="3"/>
    <s v="plays"/>
  </r>
  <r>
    <n v="948"/>
    <s v="Smith-Hill"/>
    <s v="Integrated holistic paradigm"/>
    <n v="9400"/>
    <n v="5918"/>
    <x v="3"/>
    <n v="160"/>
    <x v="1"/>
    <s v="USD"/>
    <n v="1418364000"/>
    <n v="1419228000"/>
    <b v="1"/>
    <b v="1"/>
    <s v="film &amp; video/documentary"/>
    <m/>
    <x v="4"/>
    <s v="documentary"/>
  </r>
  <r>
    <n v="949"/>
    <s v="Wright LLC"/>
    <s v="Seamless clear-thinking conglomeration"/>
    <n v="5900"/>
    <n v="9520"/>
    <x v="1"/>
    <n v="203"/>
    <x v="1"/>
    <s v="USD"/>
    <n v="1429333200"/>
    <n v="1430974800"/>
    <b v="0"/>
    <b v="0"/>
    <s v="technology/web"/>
    <m/>
    <x v="2"/>
    <s v="web"/>
  </r>
  <r>
    <n v="950"/>
    <s v="Williams, Orozco and Gomez"/>
    <s v="Persistent content-based methodology"/>
    <n v="100"/>
    <n v="5"/>
    <x v="0"/>
    <n v="1"/>
    <x v="1"/>
    <s v="USD"/>
    <n v="1555390800"/>
    <n v="1555822800"/>
    <b v="0"/>
    <b v="1"/>
    <s v="theater/plays"/>
    <m/>
    <x v="3"/>
    <s v="plays"/>
  </r>
  <r>
    <n v="951"/>
    <s v="Peterson Ltd"/>
    <s v="Re-engineered 24hour matrix"/>
    <n v="14500"/>
    <n v="159056"/>
    <x v="1"/>
    <n v="1559"/>
    <x v="1"/>
    <s v="USD"/>
    <n v="1482732000"/>
    <n v="1482818400"/>
    <b v="0"/>
    <b v="1"/>
    <s v="music/rock"/>
    <m/>
    <x v="1"/>
    <s v="rock"/>
  </r>
  <r>
    <n v="952"/>
    <s v="Cummings-Hayes"/>
    <s v="Virtual multi-tasking core"/>
    <n v="145500"/>
    <n v="101987"/>
    <x v="3"/>
    <n v="2266"/>
    <x v="1"/>
    <s v="USD"/>
    <n v="1470718800"/>
    <n v="1471928400"/>
    <b v="0"/>
    <b v="0"/>
    <s v="film &amp; video/documentary"/>
    <m/>
    <x v="4"/>
    <s v="documentary"/>
  </r>
  <r>
    <n v="953"/>
    <s v="Boyle Ltd"/>
    <s v="Streamlined fault-tolerant conglomeration"/>
    <n v="3300"/>
    <n v="1980"/>
    <x v="0"/>
    <n v="21"/>
    <x v="1"/>
    <s v="USD"/>
    <n v="1450591200"/>
    <n v="1453701600"/>
    <b v="0"/>
    <b v="1"/>
    <s v="film &amp; video/science fiction"/>
    <m/>
    <x v="4"/>
    <s v="science fiction"/>
  </r>
  <r>
    <n v="954"/>
    <s v="Henderson, Parker and Diaz"/>
    <s v="Enterprise-wide client-driven policy"/>
    <n v="42600"/>
    <n v="156384"/>
    <x v="1"/>
    <n v="1548"/>
    <x v="2"/>
    <s v="AUD"/>
    <n v="1348290000"/>
    <n v="1350363600"/>
    <b v="0"/>
    <b v="0"/>
    <s v="technology/web"/>
    <m/>
    <x v="2"/>
    <s v="web"/>
  </r>
  <r>
    <n v="955"/>
    <s v="Moss-Obrien"/>
    <s v="Function-based next generation emulation"/>
    <n v="700"/>
    <n v="7763"/>
    <x v="1"/>
    <n v="80"/>
    <x v="1"/>
    <s v="USD"/>
    <n v="1353823200"/>
    <n v="1353996000"/>
    <b v="0"/>
    <b v="0"/>
    <s v="theater/plays"/>
    <m/>
    <x v="3"/>
    <s v="plays"/>
  </r>
  <r>
    <n v="956"/>
    <s v="Wood Inc"/>
    <s v="Re-engineered composite focus group"/>
    <n v="187600"/>
    <n v="35698"/>
    <x v="0"/>
    <n v="830"/>
    <x v="1"/>
    <s v="USD"/>
    <n v="1450764000"/>
    <n v="1451109600"/>
    <b v="0"/>
    <b v="0"/>
    <s v="film &amp; video/science fiction"/>
    <m/>
    <x v="4"/>
    <s v="science fiction"/>
  </r>
  <r>
    <n v="957"/>
    <s v="Riley, Cohen and Goodman"/>
    <s v="Profound mission-critical function"/>
    <n v="9800"/>
    <n v="12434"/>
    <x v="1"/>
    <n v="131"/>
    <x v="1"/>
    <s v="USD"/>
    <n v="1329372000"/>
    <n v="1329631200"/>
    <b v="0"/>
    <b v="0"/>
    <s v="theater/plays"/>
    <m/>
    <x v="3"/>
    <s v="plays"/>
  </r>
  <r>
    <n v="958"/>
    <s v="Green, Robinson and Ho"/>
    <s v="De-engineered zero-defect open system"/>
    <n v="1100"/>
    <n v="8081"/>
    <x v="1"/>
    <n v="112"/>
    <x v="1"/>
    <s v="USD"/>
    <n v="1277096400"/>
    <n v="1278997200"/>
    <b v="0"/>
    <b v="0"/>
    <s v="film &amp; video/animation"/>
    <m/>
    <x v="4"/>
    <s v="animation"/>
  </r>
  <r>
    <n v="959"/>
    <s v="Black-Graham"/>
    <s v="Operative hybrid utilization"/>
    <n v="145000"/>
    <n v="6631"/>
    <x v="0"/>
    <n v="130"/>
    <x v="1"/>
    <s v="USD"/>
    <n v="1277701200"/>
    <n v="1280120400"/>
    <b v="0"/>
    <b v="0"/>
    <s v="publishing/translations"/>
    <m/>
    <x v="5"/>
    <s v="translations"/>
  </r>
  <r>
    <n v="960"/>
    <s v="Robbins Group"/>
    <s v="Function-based interactive matrix"/>
    <n v="5500"/>
    <n v="4678"/>
    <x v="0"/>
    <n v="55"/>
    <x v="1"/>
    <s v="USD"/>
    <n v="1454911200"/>
    <n v="1458104400"/>
    <b v="0"/>
    <b v="0"/>
    <s v="technology/web"/>
    <m/>
    <x v="2"/>
    <s v="web"/>
  </r>
  <r>
    <n v="961"/>
    <s v="Mason, Case and May"/>
    <s v="Optimized content-based collaboration"/>
    <n v="5700"/>
    <n v="6800"/>
    <x v="1"/>
    <n v="155"/>
    <x v="1"/>
    <s v="USD"/>
    <n v="1297922400"/>
    <n v="1298268000"/>
    <b v="0"/>
    <b v="0"/>
    <s v="publishing/translations"/>
    <m/>
    <x v="5"/>
    <s v="translations"/>
  </r>
  <r>
    <n v="962"/>
    <s v="Harris, Russell and Mitchell"/>
    <s v="User-centric cohesive policy"/>
    <n v="3600"/>
    <n v="10657"/>
    <x v="1"/>
    <n v="266"/>
    <x v="1"/>
    <s v="USD"/>
    <n v="1384408800"/>
    <n v="1386223200"/>
    <b v="0"/>
    <b v="0"/>
    <s v="food/food trucks"/>
    <m/>
    <x v="0"/>
    <s v="food trucks"/>
  </r>
  <r>
    <n v="963"/>
    <s v="Rodriguez-Robinson"/>
    <s v="Ergonomic methodical hub"/>
    <n v="5900"/>
    <n v="4997"/>
    <x v="0"/>
    <n v="114"/>
    <x v="6"/>
    <s v="EUR"/>
    <n v="1299304800"/>
    <n v="1299823200"/>
    <b v="0"/>
    <b v="1"/>
    <s v="photography/photography books"/>
    <m/>
    <x v="7"/>
    <s v="photography books"/>
  </r>
  <r>
    <n v="964"/>
    <s v="Peck, Higgins and Smith"/>
    <s v="Devolved disintermediate encryption"/>
    <n v="3700"/>
    <n v="13164"/>
    <x v="1"/>
    <n v="155"/>
    <x v="1"/>
    <s v="USD"/>
    <n v="1431320400"/>
    <n v="1431752400"/>
    <b v="0"/>
    <b v="0"/>
    <s v="theater/plays"/>
    <m/>
    <x v="3"/>
    <s v="plays"/>
  </r>
  <r>
    <n v="965"/>
    <s v="Nunez-King"/>
    <s v="Phased clear-thinking policy"/>
    <n v="2200"/>
    <n v="8501"/>
    <x v="1"/>
    <n v="207"/>
    <x v="4"/>
    <s v="GBP"/>
    <n v="1264399200"/>
    <n v="1267855200"/>
    <b v="0"/>
    <b v="0"/>
    <s v="music/rock"/>
    <m/>
    <x v="1"/>
    <s v="rock"/>
  </r>
  <r>
    <n v="966"/>
    <s v="Davis and Sons"/>
    <s v="Seamless solution-oriented capacity"/>
    <n v="1700"/>
    <n v="13468"/>
    <x v="1"/>
    <n v="245"/>
    <x v="1"/>
    <s v="USD"/>
    <n v="1497502800"/>
    <n v="1497675600"/>
    <b v="0"/>
    <b v="0"/>
    <s v="theater/plays"/>
    <m/>
    <x v="3"/>
    <s v="plays"/>
  </r>
  <r>
    <n v="967"/>
    <s v="Howard-Douglas"/>
    <s v="Organized human-resource attitude"/>
    <n v="88400"/>
    <n v="121138"/>
    <x v="1"/>
    <n v="1573"/>
    <x v="1"/>
    <s v="USD"/>
    <n v="1333688400"/>
    <n v="1336885200"/>
    <b v="0"/>
    <b v="0"/>
    <s v="music/world music"/>
    <m/>
    <x v="1"/>
    <s v="world music"/>
  </r>
  <r>
    <n v="968"/>
    <s v="Gonzalez-White"/>
    <s v="Open-architected disintermediate budgetary management"/>
    <n v="2400"/>
    <n v="8117"/>
    <x v="1"/>
    <n v="114"/>
    <x v="1"/>
    <s v="USD"/>
    <n v="1293861600"/>
    <n v="1295157600"/>
    <b v="0"/>
    <b v="0"/>
    <s v="food/food trucks"/>
    <m/>
    <x v="0"/>
    <s v="food trucks"/>
  </r>
  <r>
    <n v="969"/>
    <s v="Lopez-King"/>
    <s v="Multi-lateral radical solution"/>
    <n v="7900"/>
    <n v="8550"/>
    <x v="1"/>
    <n v="93"/>
    <x v="1"/>
    <s v="USD"/>
    <n v="1576994400"/>
    <n v="1577599200"/>
    <b v="0"/>
    <b v="0"/>
    <s v="theater/plays"/>
    <m/>
    <x v="3"/>
    <s v="plays"/>
  </r>
  <r>
    <n v="970"/>
    <s v="Glover-Nelson"/>
    <s v="Inverse context-sensitive info-mediaries"/>
    <n v="94900"/>
    <n v="57659"/>
    <x v="0"/>
    <n v="594"/>
    <x v="1"/>
    <s v="USD"/>
    <n v="1304917200"/>
    <n v="1305003600"/>
    <b v="0"/>
    <b v="0"/>
    <s v="theater/plays"/>
    <m/>
    <x v="3"/>
    <s v="plays"/>
  </r>
  <r>
    <n v="971"/>
    <s v="Garner and Sons"/>
    <s v="Versatile neutral workforce"/>
    <n v="5100"/>
    <n v="1414"/>
    <x v="0"/>
    <n v="24"/>
    <x v="1"/>
    <s v="USD"/>
    <n v="1381208400"/>
    <n v="1381726800"/>
    <b v="0"/>
    <b v="0"/>
    <s v="film &amp; video/television"/>
    <m/>
    <x v="4"/>
    <s v="television"/>
  </r>
  <r>
    <n v="972"/>
    <s v="Sellers, Roach and Garrison"/>
    <s v="Multi-tiered systematic knowledge user"/>
    <n v="42700"/>
    <n v="97524"/>
    <x v="1"/>
    <n v="1681"/>
    <x v="1"/>
    <s v="USD"/>
    <n v="1401685200"/>
    <n v="1402462800"/>
    <b v="0"/>
    <b v="1"/>
    <s v="technology/web"/>
    <m/>
    <x v="2"/>
    <s v="web"/>
  </r>
  <r>
    <n v="973"/>
    <s v="Herrera, Bennett and Silva"/>
    <s v="Programmable multi-state algorithm"/>
    <n v="121100"/>
    <n v="26176"/>
    <x v="0"/>
    <n v="252"/>
    <x v="1"/>
    <s v="USD"/>
    <n v="1291960800"/>
    <n v="1292133600"/>
    <b v="0"/>
    <b v="1"/>
    <s v="theater/plays"/>
    <m/>
    <x v="3"/>
    <s v="plays"/>
  </r>
  <r>
    <n v="974"/>
    <s v="Thomas, Clay and Mendoza"/>
    <s v="Multi-channeled reciprocal interface"/>
    <n v="800"/>
    <n v="2991"/>
    <x v="1"/>
    <n v="32"/>
    <x v="1"/>
    <s v="USD"/>
    <n v="1368853200"/>
    <n v="1368939600"/>
    <b v="0"/>
    <b v="0"/>
    <s v="music/indie rock"/>
    <m/>
    <x v="1"/>
    <s v="indie rock"/>
  </r>
  <r>
    <n v="975"/>
    <s v="Ayala Group"/>
    <s v="Right-sized maximized migration"/>
    <n v="5400"/>
    <n v="8366"/>
    <x v="1"/>
    <n v="135"/>
    <x v="1"/>
    <s v="USD"/>
    <n v="1448776800"/>
    <n v="1452146400"/>
    <b v="0"/>
    <b v="1"/>
    <s v="theater/plays"/>
    <m/>
    <x v="3"/>
    <s v="plays"/>
  </r>
  <r>
    <n v="976"/>
    <s v="Huerta, Roberts and Dickerson"/>
    <s v="Self-enabling value-added artificial intelligence"/>
    <n v="4000"/>
    <n v="12886"/>
    <x v="1"/>
    <n v="140"/>
    <x v="1"/>
    <s v="USD"/>
    <n v="1296194400"/>
    <n v="1296712800"/>
    <b v="0"/>
    <b v="1"/>
    <s v="theater/plays"/>
    <m/>
    <x v="3"/>
    <s v="plays"/>
  </r>
  <r>
    <n v="977"/>
    <s v="Johnson Group"/>
    <s v="Vision-oriented interactive solution"/>
    <n v="7000"/>
    <n v="5177"/>
    <x v="0"/>
    <n v="67"/>
    <x v="1"/>
    <s v="USD"/>
    <n v="1517983200"/>
    <n v="1520748000"/>
    <b v="0"/>
    <b v="0"/>
    <s v="food/food trucks"/>
    <m/>
    <x v="0"/>
    <s v="food trucks"/>
  </r>
  <r>
    <n v="978"/>
    <s v="Bailey, Nguyen and Martinez"/>
    <s v="Fundamental user-facing productivity"/>
    <n v="1000"/>
    <n v="8641"/>
    <x v="1"/>
    <n v="92"/>
    <x v="1"/>
    <s v="USD"/>
    <n v="1478930400"/>
    <n v="1480831200"/>
    <b v="0"/>
    <b v="0"/>
    <s v="games/video games"/>
    <m/>
    <x v="6"/>
    <s v="video games"/>
  </r>
  <r>
    <n v="979"/>
    <s v="Williams, Martin and Meyer"/>
    <s v="Innovative well-modulated capability"/>
    <n v="60200"/>
    <n v="86244"/>
    <x v="1"/>
    <n v="1015"/>
    <x v="4"/>
    <s v="GBP"/>
    <n v="1426395600"/>
    <n v="1426914000"/>
    <b v="0"/>
    <b v="0"/>
    <s v="theater/plays"/>
    <m/>
    <x v="3"/>
    <s v="plays"/>
  </r>
  <r>
    <n v="980"/>
    <s v="Huff-Johnson"/>
    <s v="Universal fault-tolerant orchestration"/>
    <n v="195200"/>
    <n v="78630"/>
    <x v="0"/>
    <n v="742"/>
    <x v="1"/>
    <s v="USD"/>
    <n v="1446181200"/>
    <n v="1446616800"/>
    <b v="1"/>
    <b v="0"/>
    <s v="publishing/nonfiction"/>
    <m/>
    <x v="5"/>
    <s v="nonfiction"/>
  </r>
  <r>
    <n v="981"/>
    <s v="Diaz-Little"/>
    <s v="Grass-roots executive synergy"/>
    <n v="6700"/>
    <n v="11941"/>
    <x v="1"/>
    <n v="323"/>
    <x v="1"/>
    <s v="USD"/>
    <n v="1514181600"/>
    <n v="1517032800"/>
    <b v="0"/>
    <b v="0"/>
    <s v="technology/web"/>
    <m/>
    <x v="2"/>
    <s v="web"/>
  </r>
  <r>
    <n v="982"/>
    <s v="Freeman-French"/>
    <s v="Multi-layered optimal application"/>
    <n v="7200"/>
    <n v="6115"/>
    <x v="0"/>
    <n v="75"/>
    <x v="1"/>
    <s v="USD"/>
    <n v="1311051600"/>
    <n v="1311224400"/>
    <b v="0"/>
    <b v="1"/>
    <s v="film &amp; video/documentary"/>
    <m/>
    <x v="4"/>
    <s v="documentary"/>
  </r>
  <r>
    <n v="983"/>
    <s v="Beck-Weber"/>
    <s v="Business-focused full-range core"/>
    <n v="129100"/>
    <n v="188404"/>
    <x v="1"/>
    <n v="2326"/>
    <x v="1"/>
    <s v="USD"/>
    <n v="1564894800"/>
    <n v="1566190800"/>
    <b v="0"/>
    <b v="0"/>
    <s v="film &amp; video/documentary"/>
    <m/>
    <x v="4"/>
    <s v="documentary"/>
  </r>
  <r>
    <n v="984"/>
    <s v="Lewis-Jacobson"/>
    <s v="Exclusive system-worthy Graphic Interface"/>
    <n v="6500"/>
    <n v="9910"/>
    <x v="1"/>
    <n v="381"/>
    <x v="1"/>
    <s v="USD"/>
    <n v="1567918800"/>
    <n v="1570165200"/>
    <b v="0"/>
    <b v="0"/>
    <s v="theater/plays"/>
    <m/>
    <x v="3"/>
    <s v="plays"/>
  </r>
  <r>
    <n v="985"/>
    <s v="Logan-Curtis"/>
    <s v="Enhanced optimal ability"/>
    <n v="170600"/>
    <n v="114523"/>
    <x v="0"/>
    <n v="4405"/>
    <x v="1"/>
    <s v="USD"/>
    <n v="1386309600"/>
    <n v="1388556000"/>
    <b v="0"/>
    <b v="1"/>
    <s v="music/rock"/>
    <m/>
    <x v="1"/>
    <s v="rock"/>
  </r>
  <r>
    <n v="986"/>
    <s v="Chan, Washington and Callahan"/>
    <s v="Optional zero administration neural-net"/>
    <n v="7800"/>
    <n v="3144"/>
    <x v="0"/>
    <n v="92"/>
    <x v="1"/>
    <s v="USD"/>
    <n v="1301979600"/>
    <n v="1303189200"/>
    <b v="0"/>
    <b v="0"/>
    <s v="music/rock"/>
    <m/>
    <x v="1"/>
    <s v="rock"/>
  </r>
  <r>
    <n v="987"/>
    <s v="Wilson Group"/>
    <s v="Ameliorated foreground focus group"/>
    <n v="6200"/>
    <n v="13441"/>
    <x v="1"/>
    <n v="480"/>
    <x v="1"/>
    <s v="USD"/>
    <n v="1493269200"/>
    <n v="1494478800"/>
    <b v="0"/>
    <b v="0"/>
    <s v="film &amp; video/documentary"/>
    <m/>
    <x v="4"/>
    <s v="documentary"/>
  </r>
  <r>
    <n v="988"/>
    <s v="Gardner, Ryan and Gutierrez"/>
    <s v="Triple-buffered multi-tasking matrices"/>
    <n v="9400"/>
    <n v="4899"/>
    <x v="0"/>
    <n v="64"/>
    <x v="1"/>
    <s v="USD"/>
    <n v="1478930400"/>
    <n v="1480744800"/>
    <b v="0"/>
    <b v="0"/>
    <s v="publishing/radio &amp; podcasts"/>
    <m/>
    <x v="5"/>
    <s v="radio &amp; podcasts"/>
  </r>
  <r>
    <n v="989"/>
    <s v="Hernandez Inc"/>
    <s v="Versatile dedicated migration"/>
    <n v="2400"/>
    <n v="11990"/>
    <x v="1"/>
    <n v="226"/>
    <x v="1"/>
    <s v="USD"/>
    <n v="1555390800"/>
    <n v="1555822800"/>
    <b v="0"/>
    <b v="0"/>
    <s v="publishing/translations"/>
    <m/>
    <x v="5"/>
    <s v="translations"/>
  </r>
  <r>
    <n v="990"/>
    <s v="Ortiz-Roberts"/>
    <s v="Devolved foreground customer loyalty"/>
    <n v="7800"/>
    <n v="6839"/>
    <x v="0"/>
    <n v="64"/>
    <x v="1"/>
    <s v="USD"/>
    <n v="1456984800"/>
    <n v="1458882000"/>
    <b v="0"/>
    <b v="1"/>
    <s v="film &amp; video/drama"/>
    <m/>
    <x v="4"/>
    <s v="drama"/>
  </r>
  <r>
    <n v="991"/>
    <s v="Ramirez LLC"/>
    <s v="Reduced reciprocal focus group"/>
    <n v="9800"/>
    <n v="11091"/>
    <x v="1"/>
    <n v="241"/>
    <x v="1"/>
    <s v="USD"/>
    <n v="1411621200"/>
    <n v="1411966800"/>
    <b v="0"/>
    <b v="1"/>
    <s v="music/rock"/>
    <m/>
    <x v="1"/>
    <s v="rock"/>
  </r>
  <r>
    <n v="992"/>
    <s v="Morrow Inc"/>
    <s v="Networked global migration"/>
    <n v="3100"/>
    <n v="13223"/>
    <x v="1"/>
    <n v="132"/>
    <x v="1"/>
    <s v="USD"/>
    <n v="1525669200"/>
    <n v="1526878800"/>
    <b v="0"/>
    <b v="1"/>
    <s v="film &amp; video/drama"/>
    <m/>
    <x v="4"/>
    <s v="drama"/>
  </r>
  <r>
    <n v="993"/>
    <s v="Erickson-Rogers"/>
    <s v="De-engineered even-keeled definition"/>
    <n v="9800"/>
    <n v="7608"/>
    <x v="3"/>
    <n v="75"/>
    <x v="6"/>
    <s v="EUR"/>
    <n v="1450936800"/>
    <n v="1452405600"/>
    <b v="0"/>
    <b v="1"/>
    <s v="photography/photography books"/>
    <m/>
    <x v="7"/>
    <s v="photography books"/>
  </r>
  <r>
    <n v="994"/>
    <s v="Leach, Rich and Price"/>
    <s v="Implemented bi-directional flexibility"/>
    <n v="141100"/>
    <n v="74073"/>
    <x v="0"/>
    <n v="842"/>
    <x v="1"/>
    <s v="USD"/>
    <n v="1413522000"/>
    <n v="1414040400"/>
    <b v="0"/>
    <b v="1"/>
    <s v="publishing/translations"/>
    <m/>
    <x v="5"/>
    <s v="translations"/>
  </r>
  <r>
    <n v="995"/>
    <s v="Manning-Hamilton"/>
    <s v="Vision-oriented scalable definition"/>
    <n v="97300"/>
    <n v="153216"/>
    <x v="1"/>
    <n v="2043"/>
    <x v="1"/>
    <s v="USD"/>
    <n v="1541307600"/>
    <n v="1543816800"/>
    <b v="0"/>
    <b v="1"/>
    <s v="food/food trucks"/>
    <m/>
    <x v="0"/>
    <s v="food trucks"/>
  </r>
  <r>
    <n v="996"/>
    <s v="Butler LLC"/>
    <s v="Future-proofed upward-trending migration"/>
    <n v="6600"/>
    <n v="4814"/>
    <x v="0"/>
    <n v="112"/>
    <x v="1"/>
    <s v="USD"/>
    <n v="1357106400"/>
    <n v="1359698400"/>
    <b v="0"/>
    <b v="0"/>
    <s v="theater/plays"/>
    <m/>
    <x v="3"/>
    <s v="plays"/>
  </r>
  <r>
    <n v="997"/>
    <s v="Ball LLC"/>
    <s v="Right-sized full-range throughput"/>
    <n v="7600"/>
    <n v="4603"/>
    <x v="3"/>
    <n v="139"/>
    <x v="6"/>
    <s v="EUR"/>
    <n v="1390197600"/>
    <n v="1390629600"/>
    <b v="0"/>
    <b v="0"/>
    <s v="theater/plays"/>
    <m/>
    <x v="3"/>
    <s v="plays"/>
  </r>
  <r>
    <n v="998"/>
    <s v="Taylor, Santiago and Flores"/>
    <s v="Polarized composite customer loyalty"/>
    <n v="66600"/>
    <n v="37823"/>
    <x v="0"/>
    <n v="374"/>
    <x v="1"/>
    <s v="USD"/>
    <n v="1265868000"/>
    <n v="1267077600"/>
    <b v="0"/>
    <b v="1"/>
    <s v="music/indie rock"/>
    <m/>
    <x v="1"/>
    <s v="indie rock"/>
  </r>
  <r>
    <n v="999"/>
    <s v="Hernandez, Norton and Kelley"/>
    <s v="Expanded eco-centric policy"/>
    <n v="111100"/>
    <n v="62819"/>
    <x v="3"/>
    <n v="1122"/>
    <x v="1"/>
    <s v="USD"/>
    <n v="1467176400"/>
    <n v="1467781200"/>
    <b v="0"/>
    <b v="0"/>
    <s v="food/food trucks"/>
    <m/>
    <x v="0"/>
    <s v="food trucks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8">
  <r>
    <n v="0"/>
    <s v="Baldwin, Riley and Jackson"/>
    <s v="Pre-emptive tertiary standardization"/>
    <n v="100"/>
    <n v="0"/>
    <x v="0"/>
    <n v="0"/>
    <x v="0"/>
    <s v="CAD"/>
    <n v="1448690400"/>
    <n v="1450159200"/>
    <b v="0"/>
    <b v="0"/>
    <s v="food/food trucks"/>
    <n v="1439614800"/>
    <x v="0"/>
    <s v="food trucks"/>
  </r>
  <r>
    <n v="1"/>
    <s v="Odom Inc"/>
    <s v="Managed bottom-line architecture"/>
    <n v="1400"/>
    <n v="14560"/>
    <x v="1"/>
    <n v="158"/>
    <x v="1"/>
    <s v="USD"/>
    <n v="1408424400"/>
    <n v="1408597200"/>
    <b v="0"/>
    <b v="1"/>
    <s v="music/rock"/>
    <m/>
    <x v="1"/>
    <s v="rock"/>
  </r>
  <r>
    <n v="2"/>
    <s v="Melton, Robinson and Fritz"/>
    <s v="Function-based leadingedge pricing structure"/>
    <n v="108400"/>
    <n v="142523"/>
    <x v="1"/>
    <n v="1425"/>
    <x v="2"/>
    <s v="AUD"/>
    <n v="1384668000"/>
    <n v="1384840800"/>
    <b v="0"/>
    <b v="0"/>
    <s v="technology/web"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x v="2"/>
    <s v="web"/>
  </r>
  <r>
    <n v="3"/>
    <s v="Mcdonald, Gonzalez and Ross"/>
    <s v="Vision-oriented fresh-thinking conglomeration"/>
    <n v="4200"/>
    <n v="2477"/>
    <x v="0"/>
    <n v="24"/>
    <x v="1"/>
    <s v="USD"/>
    <n v="1565499600"/>
    <n v="1568955600"/>
    <b v="0"/>
    <b v="0"/>
    <s v="music/rock"/>
    <m/>
    <x v="1"/>
    <s v="rock"/>
  </r>
  <r>
    <n v="4"/>
    <s v="Larson-Little"/>
    <s v="Proactive foreground core"/>
    <n v="7600"/>
    <n v="5265"/>
    <x v="0"/>
    <n v="53"/>
    <x v="1"/>
    <s v="USD"/>
    <n v="1547964000"/>
    <n v="1548309600"/>
    <b v="0"/>
    <b v="0"/>
    <s v="theater/plays"/>
    <m/>
    <x v="3"/>
    <s v="plays"/>
  </r>
  <r>
    <e v="#DIV/0!"/>
    <s v="Harris Group"/>
    <s v="Open-source optimizing database"/>
    <n v="7600"/>
    <n v="13195"/>
    <x v="1"/>
    <n v="174"/>
    <x v="3"/>
    <s v="DKK"/>
    <n v="1346130000"/>
    <n v="1347080400"/>
    <b v="0"/>
    <b v="0"/>
    <s v="theater/plays"/>
    <m/>
    <x v="3"/>
    <s v="plays"/>
  </r>
  <r>
    <n v="6"/>
    <s v="Ortiz, Coleman and Mitchell"/>
    <s v="Operative upward-trending algorithm"/>
    <n v="5200"/>
    <n v="1090"/>
    <x v="0"/>
    <n v="18"/>
    <x v="4"/>
    <s v="GBP"/>
    <n v="1505278800"/>
    <n v="1505365200"/>
    <b v="0"/>
    <b v="0"/>
    <s v="film &amp; video/documentary"/>
    <m/>
    <x v="4"/>
    <s v="documentary"/>
  </r>
  <r>
    <n v="7"/>
    <s v="Carter-Guzman"/>
    <s v="Centralized cohesive challenge"/>
    <n v="4500"/>
    <n v="14741"/>
    <x v="1"/>
    <n v="227"/>
    <x v="3"/>
    <s v="DKK"/>
    <n v="1439442000"/>
    <n v="1439614800"/>
    <b v="0"/>
    <b v="0"/>
    <s v="theater/plays"/>
    <m/>
    <x v="3"/>
    <s v="plays"/>
  </r>
  <r>
    <n v="8"/>
    <s v="Nunez-Richards"/>
    <s v="Exclusive attitude-oriented intranet"/>
    <n v="110100"/>
    <n v="21946"/>
    <x v="2"/>
    <n v="708"/>
    <x v="3"/>
    <s v="DKK"/>
    <n v="1281330000"/>
    <n v="1281502800"/>
    <b v="0"/>
    <b v="0"/>
    <s v="theater/plays"/>
    <m/>
    <x v="3"/>
    <s v="plays"/>
  </r>
  <r>
    <n v="9"/>
    <s v="Rangel, Holt and Jones"/>
    <s v="Open-source fresh-thinking model"/>
    <n v="6200"/>
    <n v="3208"/>
    <x v="0"/>
    <n v="44"/>
    <x v="1"/>
    <s v="USD"/>
    <n v="1379566800"/>
    <n v="1383804000"/>
    <b v="0"/>
    <b v="0"/>
    <s v="music/electric music"/>
    <m/>
    <x v="1"/>
    <s v="electric music"/>
  </r>
  <r>
    <n v="10"/>
    <s v="Green Ltd"/>
    <s v="Monitored empowering installation"/>
    <n v="5200"/>
    <n v="13838"/>
    <x v="1"/>
    <n v="220"/>
    <x v="1"/>
    <s v="USD"/>
    <n v="1281762000"/>
    <n v="1285909200"/>
    <b v="0"/>
    <b v="0"/>
    <s v="film &amp; video/drama"/>
    <m/>
    <x v="4"/>
    <s v="drama"/>
  </r>
  <r>
    <n v="11"/>
    <s v="Perez, Johnson and Gardner"/>
    <s v="Grass-roots zero administration system engine"/>
    <n v="6300"/>
    <n v="3030"/>
    <x v="0"/>
    <n v="27"/>
    <x v="1"/>
    <s v="USD"/>
    <n v="1285045200"/>
    <n v="1285563600"/>
    <b v="0"/>
    <b v="1"/>
    <s v="theater/plays"/>
    <m/>
    <x v="3"/>
    <s v="plays"/>
  </r>
  <r>
    <n v="12"/>
    <s v="Kim Ltd"/>
    <s v="Assimilated hybrid intranet"/>
    <n v="6300"/>
    <n v="5629"/>
    <x v="0"/>
    <n v="55"/>
    <x v="1"/>
    <s v="USD"/>
    <n v="1571720400"/>
    <n v="1572411600"/>
    <b v="0"/>
    <b v="0"/>
    <s v="film &amp; video/drama"/>
    <m/>
    <x v="4"/>
    <s v="drama"/>
  </r>
  <r>
    <n v="13"/>
    <s v="Walker, Taylor and Coleman"/>
    <s v="Multi-tiered directional open architecture"/>
    <n v="4200"/>
    <n v="10295"/>
    <x v="1"/>
    <n v="98"/>
    <x v="1"/>
    <s v="USD"/>
    <n v="1465621200"/>
    <n v="1466658000"/>
    <b v="0"/>
    <b v="0"/>
    <s v="music/indie rock"/>
    <m/>
    <x v="1"/>
    <s v="indie rock"/>
  </r>
  <r>
    <n v="14"/>
    <s v="Rodriguez, Rose and Stewart"/>
    <s v="Cloned directional synergy"/>
    <n v="28200"/>
    <n v="18829"/>
    <x v="0"/>
    <n v="200"/>
    <x v="1"/>
    <s v="USD"/>
    <n v="1331013600"/>
    <n v="1333342800"/>
    <b v="0"/>
    <b v="0"/>
    <s v="music/indie rock"/>
    <m/>
    <x v="1"/>
    <s v="indie rock"/>
  </r>
  <r>
    <n v="15"/>
    <s v="Wright, Hunt and Rowe"/>
    <s v="Extended eco-centric pricing structure"/>
    <n v="81200"/>
    <n v="38414"/>
    <x v="0"/>
    <n v="452"/>
    <x v="1"/>
    <s v="USD"/>
    <n v="1575957600"/>
    <n v="1576303200"/>
    <b v="0"/>
    <b v="0"/>
    <s v="technology/wearables"/>
    <m/>
    <x v="2"/>
    <s v="wearables"/>
  </r>
  <r>
    <n v="16"/>
    <s v="Hines Inc"/>
    <s v="Cross-platform systemic adapter"/>
    <n v="1700"/>
    <n v="11041"/>
    <x v="1"/>
    <n v="100"/>
    <x v="1"/>
    <s v="USD"/>
    <n v="1390370400"/>
    <n v="1392271200"/>
    <b v="0"/>
    <b v="0"/>
    <s v="publishing/nonfiction"/>
    <m/>
    <x v="5"/>
    <s v="nonfiction"/>
  </r>
  <r>
    <n v="17"/>
    <s v="Cochran-Nguyen"/>
    <s v="Seamless 4thgeneration methodology"/>
    <n v="84600"/>
    <n v="134845"/>
    <x v="1"/>
    <n v="1249"/>
    <x v="1"/>
    <s v="USD"/>
    <n v="1294812000"/>
    <n v="1294898400"/>
    <b v="0"/>
    <b v="0"/>
    <s v="film &amp; video/animation"/>
    <m/>
    <x v="4"/>
    <s v="animation"/>
  </r>
  <r>
    <n v="18"/>
    <s v="Johnson-Gould"/>
    <s v="Exclusive needs-based adapter"/>
    <n v="9100"/>
    <n v="6089"/>
    <x v="3"/>
    <n v="135"/>
    <x v="1"/>
    <s v="USD"/>
    <n v="1536382800"/>
    <n v="1537074000"/>
    <b v="0"/>
    <b v="0"/>
    <s v="theater/plays"/>
    <m/>
    <x v="3"/>
    <s v="plays"/>
  </r>
  <r>
    <n v="19"/>
    <s v="Perez-Hess"/>
    <s v="Down-sized cohesive archive"/>
    <n v="62500"/>
    <n v="30331"/>
    <x v="0"/>
    <n v="674"/>
    <x v="1"/>
    <s v="USD"/>
    <n v="1551679200"/>
    <n v="1553490000"/>
    <b v="0"/>
    <b v="1"/>
    <s v="theater/plays"/>
    <m/>
    <x v="3"/>
    <s v="plays"/>
  </r>
  <r>
    <n v="20"/>
    <s v="Reeves, Thompson and Richardson"/>
    <s v="Proactive composite alliance"/>
    <n v="131800"/>
    <n v="147936"/>
    <x v="1"/>
    <n v="1396"/>
    <x v="1"/>
    <s v="USD"/>
    <n v="1406523600"/>
    <n v="1406523600"/>
    <b v="0"/>
    <b v="0"/>
    <s v="film &amp; video/drama"/>
    <m/>
    <x v="4"/>
    <s v="drama"/>
  </r>
  <r>
    <n v="21"/>
    <s v="Simmons-Reynolds"/>
    <s v="Re-engineered intangible definition"/>
    <n v="94000"/>
    <n v="38533"/>
    <x v="0"/>
    <n v="558"/>
    <x v="1"/>
    <s v="USD"/>
    <n v="1313384400"/>
    <n v="1316322000"/>
    <b v="0"/>
    <b v="0"/>
    <s v="theater/plays"/>
    <m/>
    <x v="3"/>
    <s v="plays"/>
  </r>
  <r>
    <n v="22"/>
    <s v="Collier Inc"/>
    <s v="Enhanced dynamic definition"/>
    <n v="59100"/>
    <n v="75690"/>
    <x v="1"/>
    <n v="890"/>
    <x v="1"/>
    <s v="USD"/>
    <n v="1522731600"/>
    <n v="1524027600"/>
    <b v="0"/>
    <b v="0"/>
    <s v="theater/plays"/>
    <m/>
    <x v="3"/>
    <s v="plays"/>
  </r>
  <r>
    <n v="23"/>
    <s v="Gray-Jenkins"/>
    <s v="Devolved next generation adapter"/>
    <n v="4500"/>
    <n v="14942"/>
    <x v="1"/>
    <n v="142"/>
    <x v="4"/>
    <s v="GBP"/>
    <n v="1550124000"/>
    <n v="1554699600"/>
    <b v="0"/>
    <b v="0"/>
    <s v="film &amp; video/documentary"/>
    <m/>
    <x v="4"/>
    <s v="documentary"/>
  </r>
  <r>
    <n v="24"/>
    <s v="Scott, Wilson and Martin"/>
    <s v="Cross-platform intermediate frame"/>
    <n v="92400"/>
    <n v="104257"/>
    <x v="1"/>
    <n v="2673"/>
    <x v="1"/>
    <s v="USD"/>
    <n v="1403326800"/>
    <n v="1403499600"/>
    <b v="0"/>
    <b v="0"/>
    <s v="technology/wearables"/>
    <m/>
    <x v="2"/>
    <s v="wearables"/>
  </r>
  <r>
    <n v="25"/>
    <s v="Caldwell, Velazquez and Wilson"/>
    <s v="Monitored impactful analyzer"/>
    <n v="5500"/>
    <n v="11904"/>
    <x v="1"/>
    <n v="163"/>
    <x v="1"/>
    <s v="USD"/>
    <n v="1305694800"/>
    <n v="1307422800"/>
    <b v="0"/>
    <b v="1"/>
    <s v="games/video games"/>
    <m/>
    <x v="6"/>
    <s v="video games"/>
  </r>
  <r>
    <n v="26"/>
    <s v="Spencer-Bates"/>
    <s v="Optional responsive customer loyalty"/>
    <n v="107500"/>
    <n v="51814"/>
    <x v="3"/>
    <n v="1480"/>
    <x v="1"/>
    <s v="USD"/>
    <n v="1533013200"/>
    <n v="1535346000"/>
    <b v="0"/>
    <b v="0"/>
    <s v="theater/plays"/>
    <m/>
    <x v="3"/>
    <s v="plays"/>
  </r>
  <r>
    <n v="27"/>
    <s v="Best, Carr and Williams"/>
    <s v="Diverse transitional migration"/>
    <n v="2000"/>
    <n v="1599"/>
    <x v="0"/>
    <n v="15"/>
    <x v="1"/>
    <s v="USD"/>
    <n v="1443848400"/>
    <n v="1444539600"/>
    <b v="0"/>
    <b v="0"/>
    <s v="music/rock"/>
    <m/>
    <x v="1"/>
    <s v="rock"/>
  </r>
  <r>
    <n v="28"/>
    <s v="Campbell, Brown and Powell"/>
    <s v="Synchronized global task-force"/>
    <n v="130800"/>
    <n v="137635"/>
    <x v="1"/>
    <n v="2220"/>
    <x v="1"/>
    <s v="USD"/>
    <n v="1265695200"/>
    <n v="1267682400"/>
    <b v="0"/>
    <b v="1"/>
    <s v="theater/plays"/>
    <m/>
    <x v="3"/>
    <s v="plays"/>
  </r>
  <r>
    <n v="29"/>
    <s v="Johnson, Parker and Haynes"/>
    <s v="Focused 6thgeneration forecast"/>
    <n v="45900"/>
    <n v="150965"/>
    <x v="1"/>
    <n v="1606"/>
    <x v="5"/>
    <s v="CHF"/>
    <n v="1532062800"/>
    <n v="1535518800"/>
    <b v="0"/>
    <b v="0"/>
    <s v="film &amp; video/shorts"/>
    <m/>
    <x v="4"/>
    <s v="shorts"/>
  </r>
  <r>
    <n v="30"/>
    <s v="Clark-Cooke"/>
    <s v="Down-sized analyzing challenge"/>
    <n v="9000"/>
    <n v="14455"/>
    <x v="1"/>
    <n v="129"/>
    <x v="1"/>
    <s v="USD"/>
    <n v="1558674000"/>
    <n v="1559106000"/>
    <b v="0"/>
    <b v="0"/>
    <s v="film &amp; video/animation"/>
    <m/>
    <x v="4"/>
    <s v="animation"/>
  </r>
  <r>
    <n v="31"/>
    <s v="Schroeder Ltd"/>
    <s v="Progressive needs-based focus group"/>
    <n v="3500"/>
    <n v="10850"/>
    <x v="1"/>
    <n v="226"/>
    <x v="4"/>
    <s v="GBP"/>
    <n v="1451973600"/>
    <n v="1454392800"/>
    <b v="0"/>
    <b v="0"/>
    <s v="games/video games"/>
    <m/>
    <x v="6"/>
    <s v="video games"/>
  </r>
  <r>
    <n v="32"/>
    <s v="Jackson PLC"/>
    <s v="Ergonomic 6thgeneration success"/>
    <n v="101000"/>
    <n v="87676"/>
    <x v="0"/>
    <n v="2307"/>
    <x v="6"/>
    <s v="EUR"/>
    <n v="1515564000"/>
    <n v="1517896800"/>
    <b v="0"/>
    <b v="0"/>
    <s v="film &amp; video/documentary"/>
    <m/>
    <x v="4"/>
    <s v="documentary"/>
  </r>
  <r>
    <n v="33"/>
    <s v="Blair, Collins and Carter"/>
    <s v="Exclusive interactive approach"/>
    <n v="50200"/>
    <n v="189666"/>
    <x v="1"/>
    <n v="5419"/>
    <x v="1"/>
    <s v="USD"/>
    <n v="1412485200"/>
    <n v="1415685600"/>
    <b v="0"/>
    <b v="0"/>
    <s v="theater/plays"/>
    <m/>
    <x v="3"/>
    <s v="plays"/>
  </r>
  <r>
    <n v="34"/>
    <s v="Maldonado and Sons"/>
    <s v="Reverse-engineered asynchronous archive"/>
    <n v="9300"/>
    <n v="14025"/>
    <x v="1"/>
    <n v="165"/>
    <x v="1"/>
    <s v="USD"/>
    <n v="1490245200"/>
    <n v="1490677200"/>
    <b v="0"/>
    <b v="0"/>
    <s v="film &amp; video/documentary"/>
    <m/>
    <x v="4"/>
    <s v="documentary"/>
  </r>
  <r>
    <n v="35"/>
    <s v="Mitchell and Sons"/>
    <s v="Synergized intangible challenge"/>
    <n v="125500"/>
    <n v="188628"/>
    <x v="1"/>
    <n v="1965"/>
    <x v="3"/>
    <s v="DKK"/>
    <n v="1547877600"/>
    <n v="1551506400"/>
    <b v="0"/>
    <b v="1"/>
    <s v="film &amp; video/drama"/>
    <m/>
    <x v="4"/>
    <s v="drama"/>
  </r>
  <r>
    <n v="36"/>
    <s v="Jackson-Lewis"/>
    <s v="Monitored multi-state encryption"/>
    <n v="700"/>
    <n v="1101"/>
    <x v="1"/>
    <n v="16"/>
    <x v="1"/>
    <s v="USD"/>
    <n v="1298700000"/>
    <n v="1300856400"/>
    <b v="0"/>
    <b v="0"/>
    <s v="theater/plays"/>
    <m/>
    <x v="3"/>
    <s v="plays"/>
  </r>
  <r>
    <n v="37"/>
    <s v="Black, Armstrong and Anderson"/>
    <s v="Profound attitude-oriented functionalities"/>
    <n v="8100"/>
    <n v="11339"/>
    <x v="1"/>
    <n v="107"/>
    <x v="1"/>
    <s v="USD"/>
    <n v="1570338000"/>
    <n v="1573192800"/>
    <b v="0"/>
    <b v="1"/>
    <s v="publishing/fiction"/>
    <m/>
    <x v="5"/>
    <s v="fiction"/>
  </r>
  <r>
    <n v="38"/>
    <s v="Maldonado-Gonzalez"/>
    <s v="Digitized client-driven database"/>
    <n v="3100"/>
    <n v="10085"/>
    <x v="1"/>
    <n v="134"/>
    <x v="1"/>
    <s v="USD"/>
    <n v="1287378000"/>
    <n v="1287810000"/>
    <b v="0"/>
    <b v="0"/>
    <s v="photography/photography books"/>
    <m/>
    <x v="7"/>
    <s v="photography books"/>
  </r>
  <r>
    <n v="39"/>
    <s v="Kim-Rice"/>
    <s v="Organized bi-directional function"/>
    <n v="9900"/>
    <n v="5027"/>
    <x v="0"/>
    <n v="88"/>
    <x v="3"/>
    <s v="DKK"/>
    <n v="1361772000"/>
    <n v="1362978000"/>
    <b v="0"/>
    <b v="0"/>
    <s v="theater/plays"/>
    <m/>
    <x v="3"/>
    <s v="plays"/>
  </r>
  <r>
    <n v="40"/>
    <s v="Garcia, Garcia and Lopez"/>
    <s v="Reduced stable middleware"/>
    <n v="8800"/>
    <n v="14878"/>
    <x v="1"/>
    <n v="198"/>
    <x v="1"/>
    <s v="USD"/>
    <n v="1275714000"/>
    <n v="1277355600"/>
    <b v="0"/>
    <b v="1"/>
    <s v="technology/wearables"/>
    <m/>
    <x v="2"/>
    <s v="wearables"/>
  </r>
  <r>
    <n v="41"/>
    <s v="Watts Group"/>
    <s v="Universal 5thgeneration neural-net"/>
    <n v="5600"/>
    <n v="11924"/>
    <x v="1"/>
    <n v="111"/>
    <x v="6"/>
    <s v="EUR"/>
    <n v="1346734800"/>
    <n v="1348981200"/>
    <b v="0"/>
    <b v="1"/>
    <s v="music/rock"/>
    <m/>
    <x v="1"/>
    <s v="rock"/>
  </r>
  <r>
    <n v="42"/>
    <s v="Werner-Bryant"/>
    <s v="Virtual uniform frame"/>
    <n v="1800"/>
    <n v="7991"/>
    <x v="1"/>
    <n v="222"/>
    <x v="1"/>
    <s v="USD"/>
    <n v="1309755600"/>
    <n v="1310533200"/>
    <b v="0"/>
    <b v="0"/>
    <s v="food/food trucks"/>
    <m/>
    <x v="0"/>
    <s v="food trucks"/>
  </r>
  <r>
    <n v="43"/>
    <s v="Schmitt-Mendoza"/>
    <s v="Profound explicit paradigm"/>
    <n v="90200"/>
    <n v="167717"/>
    <x v="1"/>
    <n v="6212"/>
    <x v="1"/>
    <s v="USD"/>
    <n v="1406178000"/>
    <n v="1407560400"/>
    <b v="0"/>
    <b v="0"/>
    <s v="publishing/radio &amp; podcasts"/>
    <m/>
    <x v="5"/>
    <s v="radio &amp; podcasts"/>
  </r>
  <r>
    <n v="44"/>
    <s v="Reid-Mccullough"/>
    <s v="Visionary real-time groupware"/>
    <n v="1600"/>
    <n v="10541"/>
    <x v="1"/>
    <n v="98"/>
    <x v="3"/>
    <s v="DKK"/>
    <n v="1552798800"/>
    <n v="1552885200"/>
    <b v="0"/>
    <b v="0"/>
    <s v="publishing/fiction"/>
    <m/>
    <x v="5"/>
    <s v="fiction"/>
  </r>
  <r>
    <n v="45"/>
    <s v="Woods-Clark"/>
    <s v="Networked tertiary Graphical User Interface"/>
    <n v="9500"/>
    <n v="4530"/>
    <x v="0"/>
    <n v="48"/>
    <x v="1"/>
    <s v="USD"/>
    <n v="1478062800"/>
    <n v="1479362400"/>
    <b v="0"/>
    <b v="1"/>
    <s v="theater/plays"/>
    <m/>
    <x v="3"/>
    <s v="plays"/>
  </r>
  <r>
    <n v="46"/>
    <s v="Vaughn, Hunt and Caldwell"/>
    <s v="Virtual grid-enabled task-force"/>
    <n v="3700"/>
    <n v="4247"/>
    <x v="1"/>
    <n v="92"/>
    <x v="1"/>
    <s v="USD"/>
    <n v="1278565200"/>
    <n v="1280552400"/>
    <b v="0"/>
    <b v="0"/>
    <s v="music/rock"/>
    <m/>
    <x v="1"/>
    <s v="rock"/>
  </r>
  <r>
    <n v="47"/>
    <s v="Bennett and Sons"/>
    <s v="Function-based multi-state software"/>
    <n v="1500"/>
    <n v="7129"/>
    <x v="1"/>
    <n v="149"/>
    <x v="1"/>
    <s v="USD"/>
    <n v="1396069200"/>
    <n v="1398661200"/>
    <b v="0"/>
    <b v="0"/>
    <s v="theater/plays"/>
    <m/>
    <x v="3"/>
    <s v="plays"/>
  </r>
  <r>
    <n v="48"/>
    <s v="Lamb Inc"/>
    <s v="Optimized leadingedge concept"/>
    <n v="33300"/>
    <n v="128862"/>
    <x v="1"/>
    <n v="2431"/>
    <x v="1"/>
    <s v="USD"/>
    <n v="1435208400"/>
    <n v="1436245200"/>
    <b v="0"/>
    <b v="0"/>
    <s v="theater/plays"/>
    <m/>
    <x v="3"/>
    <s v="plays"/>
  </r>
  <r>
    <n v="49"/>
    <s v="Casey-Kelly"/>
    <s v="Sharable holistic interface"/>
    <n v="7200"/>
    <n v="13653"/>
    <x v="1"/>
    <n v="303"/>
    <x v="1"/>
    <s v="USD"/>
    <n v="1571547600"/>
    <n v="1575439200"/>
    <b v="0"/>
    <b v="0"/>
    <s v="music/rock"/>
    <m/>
    <x v="1"/>
    <s v="rock"/>
  </r>
  <r>
    <n v="50"/>
    <s v="Jones, Taylor and Moore"/>
    <s v="Down-sized system-worthy secured line"/>
    <n v="100"/>
    <n v="2"/>
    <x v="0"/>
    <n v="1"/>
    <x v="6"/>
    <s v="EUR"/>
    <n v="1375333200"/>
    <n v="1377752400"/>
    <b v="0"/>
    <b v="0"/>
    <s v="music/metal"/>
    <m/>
    <x v="1"/>
    <s v="metal"/>
  </r>
  <r>
    <n v="51"/>
    <s v="Bradshaw, Gill and Donovan"/>
    <s v="Inverse secondary infrastructure"/>
    <n v="158100"/>
    <n v="145243"/>
    <x v="0"/>
    <n v="1467"/>
    <x v="4"/>
    <s v="GBP"/>
    <n v="1332824400"/>
    <n v="1334206800"/>
    <b v="0"/>
    <b v="1"/>
    <s v="technology/wearables"/>
    <m/>
    <x v="2"/>
    <s v="wearables"/>
  </r>
  <r>
    <n v="52"/>
    <s v="Hernandez, Rodriguez and Clark"/>
    <s v="Organic foreground leverage"/>
    <n v="7200"/>
    <n v="2459"/>
    <x v="0"/>
    <n v="75"/>
    <x v="1"/>
    <s v="USD"/>
    <n v="1284526800"/>
    <n v="1284872400"/>
    <b v="0"/>
    <b v="0"/>
    <s v="theater/plays"/>
    <m/>
    <x v="3"/>
    <s v="plays"/>
  </r>
  <r>
    <n v="53"/>
    <s v="Smith-Jones"/>
    <s v="Reverse-engineered static concept"/>
    <n v="8800"/>
    <n v="12356"/>
    <x v="1"/>
    <n v="209"/>
    <x v="1"/>
    <s v="USD"/>
    <n v="1400562000"/>
    <n v="1403931600"/>
    <b v="0"/>
    <b v="0"/>
    <s v="film &amp; video/drama"/>
    <m/>
    <x v="4"/>
    <s v="drama"/>
  </r>
  <r>
    <n v="54"/>
    <s v="Roy PLC"/>
    <s v="Multi-channeled neutral customer loyalty"/>
    <n v="6000"/>
    <n v="5392"/>
    <x v="0"/>
    <n v="120"/>
    <x v="1"/>
    <s v="USD"/>
    <n v="1520748000"/>
    <n v="1521262800"/>
    <b v="0"/>
    <b v="0"/>
    <s v="technology/wearables"/>
    <m/>
    <x v="2"/>
    <s v="wearables"/>
  </r>
  <r>
    <n v="55"/>
    <s v="Wright, Brooks and Villarreal"/>
    <s v="Reverse-engineered bifurcated strategy"/>
    <n v="6600"/>
    <n v="11746"/>
    <x v="1"/>
    <n v="131"/>
    <x v="1"/>
    <s v="USD"/>
    <n v="1532926800"/>
    <n v="1533358800"/>
    <b v="0"/>
    <b v="0"/>
    <s v="music/jazz"/>
    <m/>
    <x v="1"/>
    <s v="jazz"/>
  </r>
  <r>
    <n v="56"/>
    <s v="Flores, Miller and Johnson"/>
    <s v="Horizontal context-sensitive knowledge user"/>
    <n v="8000"/>
    <n v="11493"/>
    <x v="1"/>
    <n v="164"/>
    <x v="1"/>
    <s v="USD"/>
    <n v="1420869600"/>
    <n v="1421474400"/>
    <b v="0"/>
    <b v="0"/>
    <s v="technology/wearables"/>
    <m/>
    <x v="2"/>
    <s v="wearables"/>
  </r>
  <r>
    <n v="57"/>
    <s v="Bridges, Freeman and Kim"/>
    <s v="Cross-group multi-state task-force"/>
    <n v="2900"/>
    <n v="6243"/>
    <x v="1"/>
    <n v="201"/>
    <x v="1"/>
    <s v="USD"/>
    <n v="1504242000"/>
    <n v="1505278800"/>
    <b v="0"/>
    <b v="0"/>
    <s v="games/video games"/>
    <m/>
    <x v="6"/>
    <s v="video games"/>
  </r>
  <r>
    <n v="58"/>
    <s v="Anderson-Perez"/>
    <s v="Expanded 3rdgeneration strategy"/>
    <n v="2700"/>
    <n v="6132"/>
    <x v="1"/>
    <n v="211"/>
    <x v="1"/>
    <s v="USD"/>
    <n v="1442811600"/>
    <n v="1443934800"/>
    <b v="0"/>
    <b v="0"/>
    <s v="theater/plays"/>
    <m/>
    <x v="3"/>
    <s v="plays"/>
  </r>
  <r>
    <n v="59"/>
    <s v="Wright, Fox and Marks"/>
    <s v="Assimilated real-time support"/>
    <n v="1400"/>
    <n v="3851"/>
    <x v="1"/>
    <n v="128"/>
    <x v="1"/>
    <s v="USD"/>
    <n v="1497243600"/>
    <n v="1498539600"/>
    <b v="0"/>
    <b v="1"/>
    <s v="theater/plays"/>
    <m/>
    <x v="3"/>
    <s v="plays"/>
  </r>
  <r>
    <n v="60"/>
    <s v="Crawford-Peters"/>
    <s v="User-centric regional database"/>
    <n v="94200"/>
    <n v="135997"/>
    <x v="1"/>
    <n v="1600"/>
    <x v="0"/>
    <s v="CAD"/>
    <n v="1342501200"/>
    <n v="1342760400"/>
    <b v="0"/>
    <b v="0"/>
    <s v="theater/plays"/>
    <m/>
    <x v="3"/>
    <s v="plays"/>
  </r>
  <r>
    <n v="61"/>
    <s v="Romero-Hoffman"/>
    <s v="Open-source zero administration complexity"/>
    <n v="199200"/>
    <n v="184750"/>
    <x v="0"/>
    <n v="2253"/>
    <x v="0"/>
    <s v="CAD"/>
    <n v="1298268000"/>
    <n v="1301720400"/>
    <b v="0"/>
    <b v="0"/>
    <s v="theater/plays"/>
    <m/>
    <x v="3"/>
    <s v="plays"/>
  </r>
  <r>
    <n v="62"/>
    <s v="Sparks-West"/>
    <s v="Organized incremental standardization"/>
    <n v="2000"/>
    <n v="14452"/>
    <x v="1"/>
    <n v="249"/>
    <x v="1"/>
    <s v="USD"/>
    <n v="1433480400"/>
    <n v="1433566800"/>
    <b v="0"/>
    <b v="0"/>
    <s v="technology/web"/>
    <m/>
    <x v="2"/>
    <s v="web"/>
  </r>
  <r>
    <n v="63"/>
    <s v="Baker, Morgan and Brown"/>
    <s v="Assimilated didactic open system"/>
    <n v="4700"/>
    <n v="557"/>
    <x v="0"/>
    <n v="5"/>
    <x v="1"/>
    <s v="USD"/>
    <n v="1493355600"/>
    <n v="1493874000"/>
    <b v="0"/>
    <b v="0"/>
    <s v="theater/plays"/>
    <m/>
    <x v="3"/>
    <s v="plays"/>
  </r>
  <r>
    <n v="64"/>
    <s v="Mosley-Gilbert"/>
    <s v="Vision-oriented logistical intranet"/>
    <n v="2800"/>
    <n v="2734"/>
    <x v="0"/>
    <n v="38"/>
    <x v="1"/>
    <s v="USD"/>
    <n v="1530507600"/>
    <n v="1531803600"/>
    <b v="0"/>
    <b v="1"/>
    <s v="technology/web"/>
    <m/>
    <x v="2"/>
    <s v="web"/>
  </r>
  <r>
    <n v="65"/>
    <s v="Berry-Boyer"/>
    <s v="Mandatory incremental projection"/>
    <n v="6100"/>
    <n v="14405"/>
    <x v="1"/>
    <n v="236"/>
    <x v="1"/>
    <s v="USD"/>
    <n v="1296108000"/>
    <n v="1296712800"/>
    <b v="0"/>
    <b v="0"/>
    <s v="theater/plays"/>
    <m/>
    <x v="3"/>
    <s v="plays"/>
  </r>
  <r>
    <n v="66"/>
    <s v="Sanders-Allen"/>
    <s v="Grass-roots needs-based encryption"/>
    <n v="2900"/>
    <n v="1307"/>
    <x v="0"/>
    <n v="12"/>
    <x v="1"/>
    <s v="USD"/>
    <n v="1428469200"/>
    <n v="1428901200"/>
    <b v="0"/>
    <b v="1"/>
    <s v="theater/plays"/>
    <m/>
    <x v="3"/>
    <s v="plays"/>
  </r>
  <r>
    <n v="67"/>
    <s v="Lopez Inc"/>
    <s v="Team-oriented 6thgeneration middleware"/>
    <n v="72600"/>
    <n v="117892"/>
    <x v="1"/>
    <n v="4065"/>
    <x v="4"/>
    <s v="GBP"/>
    <n v="1264399200"/>
    <n v="1264831200"/>
    <b v="0"/>
    <b v="1"/>
    <s v="technology/wearables"/>
    <m/>
    <x v="2"/>
    <s v="wearables"/>
  </r>
  <r>
    <n v="68"/>
    <s v="Moreno-Turner"/>
    <s v="Inverse multi-tasking installation"/>
    <n v="5700"/>
    <n v="14508"/>
    <x v="1"/>
    <n v="246"/>
    <x v="6"/>
    <s v="EUR"/>
    <n v="1501131600"/>
    <n v="1505192400"/>
    <b v="0"/>
    <b v="1"/>
    <s v="theater/plays"/>
    <m/>
    <x v="3"/>
    <s v="plays"/>
  </r>
  <r>
    <n v="69"/>
    <s v="Jones-Watson"/>
    <s v="Switchable disintermediate moderator"/>
    <n v="7900"/>
    <n v="1901"/>
    <x v="3"/>
    <n v="17"/>
    <x v="1"/>
    <s v="USD"/>
    <n v="1292738400"/>
    <n v="1295676000"/>
    <b v="0"/>
    <b v="0"/>
    <s v="theater/plays"/>
    <m/>
    <x v="3"/>
    <s v="plays"/>
  </r>
  <r>
    <n v="70"/>
    <s v="Barker Inc"/>
    <s v="Re-engineered 24/7 task-force"/>
    <n v="128000"/>
    <n v="158389"/>
    <x v="1"/>
    <n v="2475"/>
    <x v="6"/>
    <s v="EUR"/>
    <n v="1288674000"/>
    <n v="1292911200"/>
    <b v="0"/>
    <b v="1"/>
    <s v="theater/plays"/>
    <m/>
    <x v="3"/>
    <s v="plays"/>
  </r>
  <r>
    <n v="71"/>
    <s v="Tate, Bass and House"/>
    <s v="Organic object-oriented budgetary management"/>
    <n v="6000"/>
    <n v="6484"/>
    <x v="1"/>
    <n v="76"/>
    <x v="1"/>
    <s v="USD"/>
    <n v="1575093600"/>
    <n v="1575439200"/>
    <b v="0"/>
    <b v="0"/>
    <s v="theater/plays"/>
    <m/>
    <x v="3"/>
    <s v="plays"/>
  </r>
  <r>
    <n v="72"/>
    <s v="Hampton, Lewis and Ray"/>
    <s v="Seamless coherent parallelism"/>
    <n v="600"/>
    <n v="4022"/>
    <x v="1"/>
    <n v="54"/>
    <x v="1"/>
    <s v="USD"/>
    <n v="1435726800"/>
    <n v="1438837200"/>
    <b v="0"/>
    <b v="0"/>
    <s v="film &amp; video/animation"/>
    <m/>
    <x v="4"/>
    <s v="animation"/>
  </r>
  <r>
    <n v="73"/>
    <s v="Collins-Goodman"/>
    <s v="Cross-platform even-keeled initiative"/>
    <n v="1400"/>
    <n v="9253"/>
    <x v="1"/>
    <n v="88"/>
    <x v="1"/>
    <s v="USD"/>
    <n v="1480226400"/>
    <n v="1480485600"/>
    <b v="0"/>
    <b v="0"/>
    <s v="music/jazz"/>
    <m/>
    <x v="1"/>
    <s v="jazz"/>
  </r>
  <r>
    <n v="74"/>
    <s v="Davis-Michael"/>
    <s v="Progressive tertiary framework"/>
    <n v="3900"/>
    <n v="4776"/>
    <x v="1"/>
    <n v="85"/>
    <x v="4"/>
    <s v="GBP"/>
    <n v="1459054800"/>
    <n v="1459141200"/>
    <b v="0"/>
    <b v="0"/>
    <s v="music/metal"/>
    <m/>
    <x v="1"/>
    <s v="metal"/>
  </r>
  <r>
    <n v="75"/>
    <s v="White, Torres and Bishop"/>
    <s v="Multi-layered dynamic protocol"/>
    <n v="9700"/>
    <n v="14606"/>
    <x v="1"/>
    <n v="170"/>
    <x v="1"/>
    <s v="USD"/>
    <n v="1531630800"/>
    <n v="1532322000"/>
    <b v="0"/>
    <b v="0"/>
    <s v="photography/photography books"/>
    <m/>
    <x v="7"/>
    <s v="photography books"/>
  </r>
  <r>
    <n v="76"/>
    <s v="Martin, Conway and Larsen"/>
    <s v="Horizontal next generation function"/>
    <n v="122900"/>
    <n v="95993"/>
    <x v="0"/>
    <n v="1684"/>
    <x v="1"/>
    <s v="USD"/>
    <n v="1421992800"/>
    <n v="1426222800"/>
    <b v="1"/>
    <b v="1"/>
    <s v="theater/plays"/>
    <m/>
    <x v="3"/>
    <s v="plays"/>
  </r>
  <r>
    <n v="77"/>
    <s v="Acevedo-Huffman"/>
    <s v="Pre-emptive impactful model"/>
    <n v="9500"/>
    <n v="4460"/>
    <x v="0"/>
    <n v="56"/>
    <x v="1"/>
    <s v="USD"/>
    <n v="1285563600"/>
    <n v="1286773200"/>
    <b v="0"/>
    <b v="1"/>
    <s v="film &amp; video/animation"/>
    <m/>
    <x v="4"/>
    <s v="animation"/>
  </r>
  <r>
    <n v="78"/>
    <s v="Montgomery, Larson and Spencer"/>
    <s v="User-centric bifurcated knowledge user"/>
    <n v="4500"/>
    <n v="13536"/>
    <x v="1"/>
    <n v="330"/>
    <x v="1"/>
    <s v="USD"/>
    <n v="1523854800"/>
    <n v="1523941200"/>
    <b v="0"/>
    <b v="0"/>
    <s v="publishing/translations"/>
    <m/>
    <x v="5"/>
    <s v="translations"/>
  </r>
  <r>
    <n v="79"/>
    <s v="Soto LLC"/>
    <s v="Triple-buffered reciprocal project"/>
    <n v="57800"/>
    <n v="40228"/>
    <x v="0"/>
    <n v="838"/>
    <x v="1"/>
    <s v="USD"/>
    <n v="1529125200"/>
    <n v="1529557200"/>
    <b v="0"/>
    <b v="0"/>
    <s v="theater/plays"/>
    <m/>
    <x v="3"/>
    <s v="plays"/>
  </r>
  <r>
    <n v="80"/>
    <s v="Sutton, Barrett and Tucker"/>
    <s v="Cross-platform needs-based approach"/>
    <n v="1100"/>
    <n v="7012"/>
    <x v="1"/>
    <n v="127"/>
    <x v="1"/>
    <s v="USD"/>
    <n v="1503982800"/>
    <n v="1506574800"/>
    <b v="0"/>
    <b v="0"/>
    <s v="games/video games"/>
    <m/>
    <x v="6"/>
    <s v="video games"/>
  </r>
  <r>
    <n v="81"/>
    <s v="Gomez, Bailey and Flores"/>
    <s v="User-friendly static contingency"/>
    <n v="16800"/>
    <n v="37857"/>
    <x v="1"/>
    <n v="411"/>
    <x v="1"/>
    <s v="USD"/>
    <n v="1511416800"/>
    <n v="1513576800"/>
    <b v="0"/>
    <b v="0"/>
    <s v="music/rock"/>
    <m/>
    <x v="1"/>
    <s v="rock"/>
  </r>
  <r>
    <n v="82"/>
    <s v="Porter-George"/>
    <s v="Reactive content-based framework"/>
    <n v="1000"/>
    <n v="14973"/>
    <x v="1"/>
    <n v="180"/>
    <x v="4"/>
    <s v="GBP"/>
    <n v="1547704800"/>
    <n v="1548309600"/>
    <b v="0"/>
    <b v="1"/>
    <s v="games/video games"/>
    <m/>
    <x v="6"/>
    <s v="video games"/>
  </r>
  <r>
    <n v="83"/>
    <s v="Fitzgerald PLC"/>
    <s v="Realigned user-facing concept"/>
    <n v="106400"/>
    <n v="39996"/>
    <x v="0"/>
    <n v="1000"/>
    <x v="1"/>
    <s v="USD"/>
    <n v="1469682000"/>
    <n v="1471582800"/>
    <b v="0"/>
    <b v="0"/>
    <s v="music/electric music"/>
    <m/>
    <x v="1"/>
    <s v="electric music"/>
  </r>
  <r>
    <n v="84"/>
    <s v="Cisneros-Burton"/>
    <s v="Public-key zero tolerance orchestration"/>
    <n v="31400"/>
    <n v="41564"/>
    <x v="1"/>
    <n v="374"/>
    <x v="1"/>
    <s v="USD"/>
    <n v="1343451600"/>
    <n v="1344315600"/>
    <b v="0"/>
    <b v="0"/>
    <s v="technology/wearables"/>
    <m/>
    <x v="2"/>
    <s v="wearables"/>
  </r>
  <r>
    <n v="85"/>
    <s v="Hill, Lawson and Wilkinson"/>
    <s v="Multi-tiered eco-centric architecture"/>
    <n v="4900"/>
    <n v="6430"/>
    <x v="1"/>
    <n v="71"/>
    <x v="2"/>
    <s v="AUD"/>
    <n v="1315717200"/>
    <n v="1316408400"/>
    <b v="0"/>
    <b v="0"/>
    <s v="music/indie rock"/>
    <m/>
    <x v="1"/>
    <s v="indie rock"/>
  </r>
  <r>
    <n v="86"/>
    <s v="Davis-Smith"/>
    <s v="Organic motivating firmware"/>
    <n v="7400"/>
    <n v="12405"/>
    <x v="1"/>
    <n v="203"/>
    <x v="1"/>
    <s v="USD"/>
    <n v="1430715600"/>
    <n v="1431838800"/>
    <b v="1"/>
    <b v="0"/>
    <s v="theater/plays"/>
    <m/>
    <x v="3"/>
    <s v="plays"/>
  </r>
  <r>
    <n v="87"/>
    <s v="Farrell and Sons"/>
    <s v="Synergized 4thgeneration conglomeration"/>
    <n v="198500"/>
    <n v="123040"/>
    <x v="0"/>
    <n v="1482"/>
    <x v="2"/>
    <s v="AUD"/>
    <n v="1299564000"/>
    <n v="1300510800"/>
    <b v="0"/>
    <b v="1"/>
    <s v="music/rock"/>
    <m/>
    <x v="1"/>
    <s v="rock"/>
  </r>
  <r>
    <n v="88"/>
    <s v="Clark Group"/>
    <s v="Grass-roots fault-tolerant policy"/>
    <n v="4800"/>
    <n v="12516"/>
    <x v="1"/>
    <n v="113"/>
    <x v="1"/>
    <s v="USD"/>
    <n v="1429160400"/>
    <n v="1431061200"/>
    <b v="0"/>
    <b v="0"/>
    <s v="publishing/translations"/>
    <m/>
    <x v="5"/>
    <s v="translations"/>
  </r>
  <r>
    <n v="89"/>
    <s v="White, Singleton and Zimmerman"/>
    <s v="Monitored scalable knowledgebase"/>
    <n v="3400"/>
    <n v="8588"/>
    <x v="1"/>
    <n v="96"/>
    <x v="1"/>
    <s v="USD"/>
    <n v="1271307600"/>
    <n v="1271480400"/>
    <b v="0"/>
    <b v="0"/>
    <s v="theater/plays"/>
    <m/>
    <x v="3"/>
    <s v="plays"/>
  </r>
  <r>
    <n v="90"/>
    <s v="Kramer Group"/>
    <s v="Synergistic explicit parallelism"/>
    <n v="7800"/>
    <n v="6132"/>
    <x v="0"/>
    <n v="106"/>
    <x v="1"/>
    <s v="USD"/>
    <n v="1456380000"/>
    <n v="1456380000"/>
    <b v="0"/>
    <b v="1"/>
    <s v="theater/plays"/>
    <m/>
    <x v="3"/>
    <s v="plays"/>
  </r>
  <r>
    <n v="91"/>
    <s v="Frazier, Patrick and Smith"/>
    <s v="Enhanced systemic analyzer"/>
    <n v="154300"/>
    <n v="74688"/>
    <x v="0"/>
    <n v="679"/>
    <x v="6"/>
    <s v="EUR"/>
    <n v="1470459600"/>
    <n v="1472878800"/>
    <b v="0"/>
    <b v="0"/>
    <s v="publishing/translations"/>
    <m/>
    <x v="5"/>
    <s v="translations"/>
  </r>
  <r>
    <n v="92"/>
    <s v="Santos, Bell and Lloyd"/>
    <s v="Object-based analyzing knowledge user"/>
    <n v="20000"/>
    <n v="51775"/>
    <x v="1"/>
    <n v="498"/>
    <x v="5"/>
    <s v="CHF"/>
    <n v="1277269200"/>
    <n v="1277355600"/>
    <b v="0"/>
    <b v="1"/>
    <s v="games/video games"/>
    <m/>
    <x v="6"/>
    <s v="video games"/>
  </r>
  <r>
    <n v="93"/>
    <s v="Hall and Sons"/>
    <s v="Pre-emptive radical architecture"/>
    <n v="108800"/>
    <n v="65877"/>
    <x v="3"/>
    <n v="610"/>
    <x v="1"/>
    <s v="USD"/>
    <n v="1350709200"/>
    <n v="1351054800"/>
    <b v="0"/>
    <b v="1"/>
    <s v="theater/plays"/>
    <m/>
    <x v="3"/>
    <s v="plays"/>
  </r>
  <r>
    <n v="94"/>
    <s v="Hanson Inc"/>
    <s v="Grass-roots web-enabled contingency"/>
    <n v="2900"/>
    <n v="8807"/>
    <x v="1"/>
    <n v="180"/>
    <x v="4"/>
    <s v="GBP"/>
    <n v="1554613200"/>
    <n v="1555563600"/>
    <b v="0"/>
    <b v="0"/>
    <s v="technology/web"/>
    <m/>
    <x v="2"/>
    <s v="web"/>
  </r>
  <r>
    <n v="95"/>
    <s v="Sanchez LLC"/>
    <s v="Stand-alone system-worthy standardization"/>
    <n v="900"/>
    <n v="1017"/>
    <x v="1"/>
    <n v="27"/>
    <x v="1"/>
    <s v="USD"/>
    <n v="1571029200"/>
    <n v="1571634000"/>
    <b v="0"/>
    <b v="0"/>
    <s v="film &amp; video/documentary"/>
    <m/>
    <x v="4"/>
    <s v="documentary"/>
  </r>
  <r>
    <n v="96"/>
    <s v="Howard Ltd"/>
    <s v="Down-sized systematic policy"/>
    <n v="69700"/>
    <n v="151513"/>
    <x v="1"/>
    <n v="2331"/>
    <x v="1"/>
    <s v="USD"/>
    <n v="1299736800"/>
    <n v="1300856400"/>
    <b v="0"/>
    <b v="0"/>
    <s v="theater/plays"/>
    <m/>
    <x v="3"/>
    <s v="plays"/>
  </r>
  <r>
    <n v="97"/>
    <s v="Stewart LLC"/>
    <s v="Cloned bi-directional architecture"/>
    <n v="1300"/>
    <n v="12047"/>
    <x v="1"/>
    <n v="113"/>
    <x v="1"/>
    <s v="USD"/>
    <n v="1435208400"/>
    <n v="1439874000"/>
    <b v="0"/>
    <b v="0"/>
    <s v="food/food trucks"/>
    <m/>
    <x v="0"/>
    <s v="food trucks"/>
  </r>
  <r>
    <n v="98"/>
    <s v="Arias, Allen and Miller"/>
    <s v="Seamless transitional portal"/>
    <n v="97800"/>
    <n v="32951"/>
    <x v="0"/>
    <n v="1220"/>
    <x v="2"/>
    <s v="AUD"/>
    <n v="1437973200"/>
    <n v="1438318800"/>
    <b v="0"/>
    <b v="0"/>
    <s v="games/video games"/>
    <m/>
    <x v="6"/>
    <s v="video games"/>
  </r>
  <r>
    <n v="99"/>
    <s v="Baker-Morris"/>
    <s v="Fully-configurable motivating approach"/>
    <n v="7600"/>
    <n v="14951"/>
    <x v="1"/>
    <n v="164"/>
    <x v="1"/>
    <s v="USD"/>
    <n v="1416895200"/>
    <n v="1419400800"/>
    <b v="0"/>
    <b v="0"/>
    <s v="theater/plays"/>
    <m/>
    <x v="3"/>
    <s v="plays"/>
  </r>
  <r>
    <n v="100"/>
    <s v="Tucker, Fox and Green"/>
    <s v="Upgradable fault-tolerant approach"/>
    <n v="100"/>
    <n v="1"/>
    <x v="0"/>
    <n v="1"/>
    <x v="1"/>
    <s v="USD"/>
    <n v="1319000400"/>
    <n v="1320555600"/>
    <b v="0"/>
    <b v="0"/>
    <s v="theater/plays"/>
    <m/>
    <x v="3"/>
    <s v="plays"/>
  </r>
  <r>
    <n v="101"/>
    <s v="Douglas LLC"/>
    <s v="Reduced heuristic moratorium"/>
    <n v="900"/>
    <n v="9193"/>
    <x v="1"/>
    <n v="164"/>
    <x v="1"/>
    <s v="USD"/>
    <n v="1424498400"/>
    <n v="1425103200"/>
    <b v="0"/>
    <b v="1"/>
    <s v="music/electric music"/>
    <m/>
    <x v="1"/>
    <s v="electric music"/>
  </r>
  <r>
    <n v="102"/>
    <s v="Garcia Inc"/>
    <s v="Front-line web-enabled model"/>
    <n v="3700"/>
    <n v="10422"/>
    <x v="1"/>
    <n v="336"/>
    <x v="1"/>
    <s v="USD"/>
    <n v="1526274000"/>
    <n v="1526878800"/>
    <b v="0"/>
    <b v="1"/>
    <s v="technology/wearables"/>
    <m/>
    <x v="2"/>
    <s v="wearables"/>
  </r>
  <r>
    <n v="103"/>
    <s v="Frye, Hunt and Powell"/>
    <s v="Polarized incremental emulation"/>
    <n v="10000"/>
    <n v="2461"/>
    <x v="0"/>
    <n v="37"/>
    <x v="6"/>
    <s v="EUR"/>
    <n v="1287896400"/>
    <n v="1288674000"/>
    <b v="0"/>
    <b v="0"/>
    <s v="music/electric music"/>
    <m/>
    <x v="1"/>
    <s v="electric music"/>
  </r>
  <r>
    <n v="104"/>
    <s v="Smith, Wells and Nguyen"/>
    <s v="Self-enabling grid-enabled initiative"/>
    <n v="119200"/>
    <n v="170623"/>
    <x v="1"/>
    <n v="1917"/>
    <x v="1"/>
    <s v="USD"/>
    <n v="1495515600"/>
    <n v="1495602000"/>
    <b v="0"/>
    <b v="0"/>
    <s v="music/indie rock"/>
    <m/>
    <x v="1"/>
    <s v="indie rock"/>
  </r>
  <r>
    <n v="105"/>
    <s v="Charles-Johnson"/>
    <s v="Total fresh-thinking system engine"/>
    <n v="6800"/>
    <n v="9829"/>
    <x v="1"/>
    <n v="95"/>
    <x v="1"/>
    <s v="USD"/>
    <n v="1364878800"/>
    <n v="1366434000"/>
    <b v="0"/>
    <b v="0"/>
    <s v="technology/web"/>
    <m/>
    <x v="2"/>
    <s v="web"/>
  </r>
  <r>
    <n v="106"/>
    <s v="Brandt, Carter and Wood"/>
    <s v="Ameliorated clear-thinking circuit"/>
    <n v="3900"/>
    <n v="14006"/>
    <x v="1"/>
    <n v="147"/>
    <x v="1"/>
    <s v="USD"/>
    <n v="1567918800"/>
    <n v="1568350800"/>
    <b v="0"/>
    <b v="0"/>
    <s v="theater/plays"/>
    <m/>
    <x v="3"/>
    <s v="plays"/>
  </r>
  <r>
    <n v="107"/>
    <s v="Tucker, Schmidt and Reid"/>
    <s v="Multi-layered encompassing installation"/>
    <n v="3500"/>
    <n v="6527"/>
    <x v="1"/>
    <n v="86"/>
    <x v="1"/>
    <s v="USD"/>
    <n v="1524459600"/>
    <n v="1525928400"/>
    <b v="0"/>
    <b v="1"/>
    <s v="theater/plays"/>
    <m/>
    <x v="3"/>
    <s v="plays"/>
  </r>
  <r>
    <n v="108"/>
    <s v="Decker Inc"/>
    <s v="Universal encompassing implementation"/>
    <n v="1500"/>
    <n v="8929"/>
    <x v="1"/>
    <n v="83"/>
    <x v="1"/>
    <s v="USD"/>
    <n v="1333688400"/>
    <n v="1336885200"/>
    <b v="0"/>
    <b v="0"/>
    <s v="film &amp; video/documentary"/>
    <m/>
    <x v="4"/>
    <s v="documentary"/>
  </r>
  <r>
    <n v="109"/>
    <s v="Romero and Sons"/>
    <s v="Object-based client-server application"/>
    <n v="5200"/>
    <n v="3079"/>
    <x v="0"/>
    <n v="60"/>
    <x v="1"/>
    <s v="USD"/>
    <n v="1389506400"/>
    <n v="1389679200"/>
    <b v="0"/>
    <b v="0"/>
    <s v="film &amp; video/television"/>
    <m/>
    <x v="4"/>
    <s v="television"/>
  </r>
  <r>
    <n v="110"/>
    <s v="Castillo-Carey"/>
    <s v="Cross-platform solution-oriented process improvement"/>
    <n v="142400"/>
    <n v="21307"/>
    <x v="0"/>
    <n v="296"/>
    <x v="1"/>
    <s v="USD"/>
    <n v="1536642000"/>
    <n v="1538283600"/>
    <b v="0"/>
    <b v="0"/>
    <s v="food/food trucks"/>
    <m/>
    <x v="0"/>
    <s v="food trucks"/>
  </r>
  <r>
    <n v="111"/>
    <s v="Hart-Briggs"/>
    <s v="Re-engineered user-facing approach"/>
    <n v="61400"/>
    <n v="73653"/>
    <x v="1"/>
    <n v="676"/>
    <x v="1"/>
    <s v="USD"/>
    <n v="1348290000"/>
    <n v="1348808400"/>
    <b v="0"/>
    <b v="0"/>
    <s v="publishing/radio &amp; podcasts"/>
    <m/>
    <x v="5"/>
    <s v="radio &amp; podcasts"/>
  </r>
  <r>
    <n v="112"/>
    <s v="Jones-Meyer"/>
    <s v="Re-engineered client-driven hub"/>
    <n v="4700"/>
    <n v="12635"/>
    <x v="1"/>
    <n v="361"/>
    <x v="2"/>
    <s v="AUD"/>
    <n v="1408856400"/>
    <n v="1410152400"/>
    <b v="0"/>
    <b v="0"/>
    <s v="technology/web"/>
    <m/>
    <x v="2"/>
    <s v="web"/>
  </r>
  <r>
    <n v="113"/>
    <s v="Wright, Hartman and Yu"/>
    <s v="User-friendly tertiary array"/>
    <n v="3300"/>
    <n v="12437"/>
    <x v="1"/>
    <n v="131"/>
    <x v="1"/>
    <s v="USD"/>
    <n v="1505192400"/>
    <n v="1505797200"/>
    <b v="0"/>
    <b v="0"/>
    <s v="food/food trucks"/>
    <m/>
    <x v="0"/>
    <s v="food trucks"/>
  </r>
  <r>
    <n v="114"/>
    <s v="Harper-Davis"/>
    <s v="Robust heuristic encoding"/>
    <n v="1900"/>
    <n v="13816"/>
    <x v="1"/>
    <n v="126"/>
    <x v="1"/>
    <s v="USD"/>
    <n v="1554786000"/>
    <n v="1554872400"/>
    <b v="0"/>
    <b v="1"/>
    <s v="technology/wearables"/>
    <m/>
    <x v="2"/>
    <s v="wearables"/>
  </r>
  <r>
    <n v="115"/>
    <s v="Barrett PLC"/>
    <s v="Team-oriented clear-thinking capacity"/>
    <n v="166700"/>
    <n v="145382"/>
    <x v="0"/>
    <n v="3304"/>
    <x v="6"/>
    <s v="EUR"/>
    <n v="1510898400"/>
    <n v="1513922400"/>
    <b v="0"/>
    <b v="0"/>
    <s v="publishing/fiction"/>
    <m/>
    <x v="5"/>
    <s v="fiction"/>
  </r>
  <r>
    <n v="116"/>
    <s v="David-Clark"/>
    <s v="De-engineered motivating standardization"/>
    <n v="7200"/>
    <n v="6336"/>
    <x v="0"/>
    <n v="73"/>
    <x v="1"/>
    <s v="USD"/>
    <n v="1442552400"/>
    <n v="1442638800"/>
    <b v="0"/>
    <b v="0"/>
    <s v="theater/plays"/>
    <m/>
    <x v="3"/>
    <s v="plays"/>
  </r>
  <r>
    <n v="117"/>
    <s v="Chaney-Dennis"/>
    <s v="Business-focused 24hour groupware"/>
    <n v="4900"/>
    <n v="8523"/>
    <x v="1"/>
    <n v="275"/>
    <x v="1"/>
    <s v="USD"/>
    <n v="1316667600"/>
    <n v="1317186000"/>
    <b v="0"/>
    <b v="0"/>
    <s v="film &amp; video/television"/>
    <m/>
    <x v="4"/>
    <s v="television"/>
  </r>
  <r>
    <n v="118"/>
    <s v="Robinson, Lopez and Christensen"/>
    <s v="Organic next generation protocol"/>
    <n v="5400"/>
    <n v="6351"/>
    <x v="1"/>
    <n v="67"/>
    <x v="1"/>
    <s v="USD"/>
    <n v="1390716000"/>
    <n v="1391234400"/>
    <b v="0"/>
    <b v="0"/>
    <s v="photography/photography books"/>
    <m/>
    <x v="7"/>
    <s v="photography books"/>
  </r>
  <r>
    <n v="119"/>
    <s v="Clark and Sons"/>
    <s v="Reverse-engineered full-range Internet solution"/>
    <n v="5000"/>
    <n v="10748"/>
    <x v="1"/>
    <n v="154"/>
    <x v="1"/>
    <s v="USD"/>
    <n v="1402894800"/>
    <n v="1404363600"/>
    <b v="0"/>
    <b v="1"/>
    <s v="film &amp; video/documentary"/>
    <m/>
    <x v="4"/>
    <s v="documentary"/>
  </r>
  <r>
    <n v="120"/>
    <s v="Vega Group"/>
    <s v="Synchronized regional synergy"/>
    <n v="75100"/>
    <n v="112272"/>
    <x v="1"/>
    <n v="1782"/>
    <x v="1"/>
    <s v="USD"/>
    <n v="1429246800"/>
    <n v="1429592400"/>
    <b v="0"/>
    <b v="1"/>
    <s v="games/mobile games"/>
    <m/>
    <x v="6"/>
    <s v="mobile games"/>
  </r>
  <r>
    <n v="121"/>
    <s v="Brown-Brown"/>
    <s v="Multi-lateral homogeneous success"/>
    <n v="45300"/>
    <n v="99361"/>
    <x v="1"/>
    <n v="903"/>
    <x v="1"/>
    <s v="USD"/>
    <n v="1412485200"/>
    <n v="1413608400"/>
    <b v="0"/>
    <b v="0"/>
    <s v="games/video games"/>
    <m/>
    <x v="6"/>
    <s v="video games"/>
  </r>
  <r>
    <n v="122"/>
    <s v="Taylor PLC"/>
    <s v="Seamless zero-defect solution"/>
    <n v="136800"/>
    <n v="88055"/>
    <x v="0"/>
    <n v="3387"/>
    <x v="1"/>
    <s v="USD"/>
    <n v="1417068000"/>
    <n v="1419400800"/>
    <b v="0"/>
    <b v="0"/>
    <s v="publishing/fiction"/>
    <m/>
    <x v="5"/>
    <s v="fiction"/>
  </r>
  <r>
    <n v="123"/>
    <s v="Edwards-Lewis"/>
    <s v="Enhanced scalable concept"/>
    <n v="177700"/>
    <n v="33092"/>
    <x v="0"/>
    <n v="662"/>
    <x v="0"/>
    <s v="CAD"/>
    <n v="1448344800"/>
    <n v="1448604000"/>
    <b v="1"/>
    <b v="0"/>
    <s v="theater/plays"/>
    <m/>
    <x v="3"/>
    <s v="plays"/>
  </r>
  <r>
    <n v="124"/>
    <s v="Stanton, Neal and Rodriguez"/>
    <s v="Polarized uniform software"/>
    <n v="2600"/>
    <n v="9562"/>
    <x v="1"/>
    <n v="94"/>
    <x v="6"/>
    <s v="EUR"/>
    <n v="1557723600"/>
    <n v="1562302800"/>
    <b v="0"/>
    <b v="0"/>
    <s v="photography/photography books"/>
    <m/>
    <x v="7"/>
    <s v="photography books"/>
  </r>
  <r>
    <n v="125"/>
    <s v="Pratt LLC"/>
    <s v="Stand-alone web-enabled moderator"/>
    <n v="5300"/>
    <n v="8475"/>
    <x v="1"/>
    <n v="180"/>
    <x v="1"/>
    <s v="USD"/>
    <n v="1537333200"/>
    <n v="1537678800"/>
    <b v="0"/>
    <b v="0"/>
    <s v="theater/plays"/>
    <m/>
    <x v="3"/>
    <s v="plays"/>
  </r>
  <r>
    <n v="126"/>
    <s v="Gross PLC"/>
    <s v="Proactive methodical benchmark"/>
    <n v="180200"/>
    <n v="69617"/>
    <x v="0"/>
    <n v="774"/>
    <x v="1"/>
    <s v="USD"/>
    <n v="1471150800"/>
    <n v="1473570000"/>
    <b v="0"/>
    <b v="1"/>
    <s v="theater/plays"/>
    <m/>
    <x v="3"/>
    <s v="plays"/>
  </r>
  <r>
    <n v="127"/>
    <s v="Martinez, Gomez and Dalton"/>
    <s v="Team-oriented 6thgeneration matrix"/>
    <n v="103200"/>
    <n v="53067"/>
    <x v="0"/>
    <n v="672"/>
    <x v="0"/>
    <s v="CAD"/>
    <n v="1273640400"/>
    <n v="1273899600"/>
    <b v="0"/>
    <b v="0"/>
    <s v="theater/plays"/>
    <m/>
    <x v="3"/>
    <s v="plays"/>
  </r>
  <r>
    <n v="128"/>
    <s v="Allen-Curtis"/>
    <s v="Phased human-resource core"/>
    <n v="70600"/>
    <n v="42596"/>
    <x v="3"/>
    <n v="532"/>
    <x v="1"/>
    <s v="USD"/>
    <n v="1282885200"/>
    <n v="1284008400"/>
    <b v="0"/>
    <b v="0"/>
    <s v="music/rock"/>
    <m/>
    <x v="1"/>
    <s v="rock"/>
  </r>
  <r>
    <n v="129"/>
    <s v="Morgan-Martinez"/>
    <s v="Mandatory tertiary implementation"/>
    <n v="148500"/>
    <n v="4756"/>
    <x v="3"/>
    <n v="55"/>
    <x v="2"/>
    <s v="AUD"/>
    <n v="1422943200"/>
    <n v="1425103200"/>
    <b v="0"/>
    <b v="0"/>
    <s v="food/food trucks"/>
    <m/>
    <x v="0"/>
    <s v="food trucks"/>
  </r>
  <r>
    <n v="130"/>
    <s v="Luna, Anderson and Fox"/>
    <s v="Secured directional encryption"/>
    <n v="9600"/>
    <n v="14925"/>
    <x v="1"/>
    <n v="533"/>
    <x v="3"/>
    <s v="DKK"/>
    <n v="1319605200"/>
    <n v="1320991200"/>
    <b v="0"/>
    <b v="0"/>
    <s v="film &amp; video/drama"/>
    <m/>
    <x v="4"/>
    <s v="drama"/>
  </r>
  <r>
    <n v="131"/>
    <s v="Fleming, Zhang and Henderson"/>
    <s v="Distributed 5thgeneration implementation"/>
    <n v="164700"/>
    <n v="166116"/>
    <x v="1"/>
    <n v="2443"/>
    <x v="4"/>
    <s v="GBP"/>
    <n v="1385704800"/>
    <n v="1386828000"/>
    <b v="0"/>
    <b v="0"/>
    <s v="technology/web"/>
    <m/>
    <x v="2"/>
    <s v="web"/>
  </r>
  <r>
    <n v="132"/>
    <s v="Flowers and Sons"/>
    <s v="Virtual static core"/>
    <n v="3300"/>
    <n v="3834"/>
    <x v="1"/>
    <n v="89"/>
    <x v="1"/>
    <s v="USD"/>
    <n v="1515736800"/>
    <n v="1517119200"/>
    <b v="0"/>
    <b v="1"/>
    <s v="theater/plays"/>
    <m/>
    <x v="3"/>
    <s v="plays"/>
  </r>
  <r>
    <n v="133"/>
    <s v="Gates PLC"/>
    <s v="Secured content-based product"/>
    <n v="4500"/>
    <n v="13985"/>
    <x v="1"/>
    <n v="159"/>
    <x v="1"/>
    <s v="USD"/>
    <n v="1313125200"/>
    <n v="1315026000"/>
    <b v="0"/>
    <b v="0"/>
    <s v="music/world music"/>
    <m/>
    <x v="1"/>
    <s v="world music"/>
  </r>
  <r>
    <n v="134"/>
    <s v="Caldwell LLC"/>
    <s v="Secured executive concept"/>
    <n v="99500"/>
    <n v="89288"/>
    <x v="0"/>
    <n v="940"/>
    <x v="5"/>
    <s v="CHF"/>
    <n v="1308459600"/>
    <n v="1312693200"/>
    <b v="0"/>
    <b v="1"/>
    <s v="film &amp; video/documentary"/>
    <m/>
    <x v="4"/>
    <s v="documentary"/>
  </r>
  <r>
    <n v="135"/>
    <s v="Le, Burton and Evans"/>
    <s v="Balanced zero-defect software"/>
    <n v="7700"/>
    <n v="5488"/>
    <x v="0"/>
    <n v="117"/>
    <x v="1"/>
    <s v="USD"/>
    <n v="1362636000"/>
    <n v="1363064400"/>
    <b v="0"/>
    <b v="1"/>
    <s v="theater/plays"/>
    <m/>
    <x v="3"/>
    <s v="plays"/>
  </r>
  <r>
    <n v="136"/>
    <s v="Briggs PLC"/>
    <s v="Distributed context-sensitive flexibility"/>
    <n v="82800"/>
    <n v="2721"/>
    <x v="3"/>
    <n v="58"/>
    <x v="1"/>
    <s v="USD"/>
    <n v="1402117200"/>
    <n v="1403154000"/>
    <b v="0"/>
    <b v="1"/>
    <s v="film &amp; video/drama"/>
    <m/>
    <x v="4"/>
    <s v="drama"/>
  </r>
  <r>
    <n v="137"/>
    <s v="Hudson-Nguyen"/>
    <s v="Down-sized disintermediate support"/>
    <n v="1800"/>
    <n v="4712"/>
    <x v="1"/>
    <n v="50"/>
    <x v="1"/>
    <s v="USD"/>
    <n v="1286341200"/>
    <n v="1286859600"/>
    <b v="0"/>
    <b v="0"/>
    <s v="publishing/nonfiction"/>
    <m/>
    <x v="5"/>
    <s v="nonfiction"/>
  </r>
  <r>
    <n v="138"/>
    <s v="Hogan Ltd"/>
    <s v="Stand-alone mission-critical moratorium"/>
    <n v="9600"/>
    <n v="9216"/>
    <x v="0"/>
    <n v="115"/>
    <x v="1"/>
    <s v="USD"/>
    <n v="1348808400"/>
    <n v="1349326800"/>
    <b v="0"/>
    <b v="0"/>
    <s v="games/mobile games"/>
    <m/>
    <x v="6"/>
    <s v="mobile games"/>
  </r>
  <r>
    <n v="139"/>
    <s v="Hamilton, Wright and Chavez"/>
    <s v="Down-sized empowering protocol"/>
    <n v="92100"/>
    <n v="19246"/>
    <x v="0"/>
    <n v="326"/>
    <x v="1"/>
    <s v="USD"/>
    <n v="1429592400"/>
    <n v="1430974800"/>
    <b v="0"/>
    <b v="1"/>
    <s v="technology/wearables"/>
    <m/>
    <x v="2"/>
    <s v="wearables"/>
  </r>
  <r>
    <n v="140"/>
    <s v="Bautista-Cross"/>
    <s v="Fully-configurable coherent Internet solution"/>
    <n v="5500"/>
    <n v="12274"/>
    <x v="1"/>
    <n v="186"/>
    <x v="1"/>
    <s v="USD"/>
    <n v="1519538400"/>
    <n v="1519970400"/>
    <b v="0"/>
    <b v="0"/>
    <s v="film &amp; video/documentary"/>
    <m/>
    <x v="4"/>
    <s v="documentary"/>
  </r>
  <r>
    <n v="141"/>
    <s v="Jackson LLC"/>
    <s v="Distributed motivating algorithm"/>
    <n v="64300"/>
    <n v="65323"/>
    <x v="1"/>
    <n v="1071"/>
    <x v="1"/>
    <s v="USD"/>
    <n v="1434085200"/>
    <n v="1434603600"/>
    <b v="0"/>
    <b v="0"/>
    <s v="technology/web"/>
    <m/>
    <x v="2"/>
    <s v="web"/>
  </r>
  <r>
    <n v="142"/>
    <s v="Figueroa Ltd"/>
    <s v="Expanded solution-oriented benchmark"/>
    <n v="5000"/>
    <n v="11502"/>
    <x v="1"/>
    <n v="117"/>
    <x v="1"/>
    <s v="USD"/>
    <n v="1333688400"/>
    <n v="1337230800"/>
    <b v="0"/>
    <b v="0"/>
    <s v="technology/web"/>
    <m/>
    <x v="2"/>
    <s v="web"/>
  </r>
  <r>
    <n v="143"/>
    <s v="Avila-Jones"/>
    <s v="Implemented discrete secured line"/>
    <n v="5400"/>
    <n v="7322"/>
    <x v="1"/>
    <n v="70"/>
    <x v="1"/>
    <s v="USD"/>
    <n v="1277701200"/>
    <n v="1279429200"/>
    <b v="0"/>
    <b v="0"/>
    <s v="music/indie rock"/>
    <m/>
    <x v="1"/>
    <s v="indie rock"/>
  </r>
  <r>
    <n v="144"/>
    <s v="Martin, Lopez and Hunter"/>
    <s v="Multi-lateral actuating installation"/>
    <n v="9000"/>
    <n v="11619"/>
    <x v="1"/>
    <n v="135"/>
    <x v="1"/>
    <s v="USD"/>
    <n v="1560747600"/>
    <n v="1561438800"/>
    <b v="0"/>
    <b v="0"/>
    <s v="theater/plays"/>
    <m/>
    <x v="3"/>
    <s v="plays"/>
  </r>
  <r>
    <n v="145"/>
    <s v="Fields-Moore"/>
    <s v="Secured reciprocal array"/>
    <n v="25000"/>
    <n v="59128"/>
    <x v="1"/>
    <n v="768"/>
    <x v="5"/>
    <s v="CHF"/>
    <n v="1410066000"/>
    <n v="1410498000"/>
    <b v="0"/>
    <b v="0"/>
    <s v="technology/wearables"/>
    <m/>
    <x v="2"/>
    <s v="wearables"/>
  </r>
  <r>
    <n v="146"/>
    <s v="Harris-Golden"/>
    <s v="Optional bandwidth-monitored middleware"/>
    <n v="8800"/>
    <n v="1518"/>
    <x v="3"/>
    <n v="51"/>
    <x v="1"/>
    <s v="USD"/>
    <n v="1320732000"/>
    <n v="1322460000"/>
    <b v="0"/>
    <b v="0"/>
    <s v="theater/plays"/>
    <m/>
    <x v="3"/>
    <s v="plays"/>
  </r>
  <r>
    <n v="147"/>
    <s v="Moss, Norman and Dunlap"/>
    <s v="Upgradable upward-trending workforce"/>
    <n v="8300"/>
    <n v="9337"/>
    <x v="1"/>
    <n v="199"/>
    <x v="1"/>
    <s v="USD"/>
    <n v="1465794000"/>
    <n v="1466312400"/>
    <b v="0"/>
    <b v="1"/>
    <s v="theater/plays"/>
    <m/>
    <x v="3"/>
    <s v="plays"/>
  </r>
  <r>
    <n v="148"/>
    <s v="White, Larson and Wright"/>
    <s v="Upgradable hybrid capability"/>
    <n v="9300"/>
    <n v="11255"/>
    <x v="1"/>
    <n v="107"/>
    <x v="1"/>
    <s v="USD"/>
    <n v="1500958800"/>
    <n v="1501736400"/>
    <b v="0"/>
    <b v="0"/>
    <s v="technology/wearables"/>
    <m/>
    <x v="2"/>
    <s v="wearables"/>
  </r>
  <r>
    <n v="149"/>
    <s v="Payne, Oliver and Burch"/>
    <s v="Managed fresh-thinking flexibility"/>
    <n v="6200"/>
    <n v="13632"/>
    <x v="1"/>
    <n v="195"/>
    <x v="1"/>
    <s v="USD"/>
    <n v="1357020000"/>
    <n v="1361512800"/>
    <b v="0"/>
    <b v="0"/>
    <s v="music/indie rock"/>
    <m/>
    <x v="1"/>
    <s v="indie rock"/>
  </r>
  <r>
    <n v="150"/>
    <s v="Brown, Palmer and Pace"/>
    <s v="Networked stable workforce"/>
    <n v="100"/>
    <n v="1"/>
    <x v="0"/>
    <n v="1"/>
    <x v="1"/>
    <s v="USD"/>
    <n v="1544940000"/>
    <n v="1545026400"/>
    <b v="0"/>
    <b v="0"/>
    <s v="music/rock"/>
    <m/>
    <x v="1"/>
    <s v="rock"/>
  </r>
  <r>
    <n v="151"/>
    <s v="Parker LLC"/>
    <s v="Customizable intermediate extranet"/>
    <n v="137200"/>
    <n v="88037"/>
    <x v="0"/>
    <n v="1467"/>
    <x v="1"/>
    <s v="USD"/>
    <n v="1402290000"/>
    <n v="1406696400"/>
    <b v="0"/>
    <b v="0"/>
    <s v="music/electric music"/>
    <m/>
    <x v="1"/>
    <s v="electric music"/>
  </r>
  <r>
    <n v="152"/>
    <s v="Bowen, Mcdonald and Hall"/>
    <s v="User-centric fault-tolerant task-force"/>
    <n v="41500"/>
    <n v="175573"/>
    <x v="1"/>
    <n v="3376"/>
    <x v="1"/>
    <s v="USD"/>
    <n v="1487311200"/>
    <n v="1487916000"/>
    <b v="0"/>
    <b v="0"/>
    <s v="music/indie rock"/>
    <m/>
    <x v="1"/>
    <s v="indie rock"/>
  </r>
  <r>
    <n v="153"/>
    <s v="Whitehead, Bell and Hughes"/>
    <s v="Multi-tiered radical definition"/>
    <n v="189400"/>
    <n v="176112"/>
    <x v="0"/>
    <n v="5681"/>
    <x v="1"/>
    <s v="USD"/>
    <n v="1350622800"/>
    <n v="1351141200"/>
    <b v="0"/>
    <b v="0"/>
    <s v="theater/plays"/>
    <m/>
    <x v="3"/>
    <s v="plays"/>
  </r>
  <r>
    <n v="154"/>
    <s v="Rodriguez-Brown"/>
    <s v="Devolved foreground benchmark"/>
    <n v="171300"/>
    <n v="100650"/>
    <x v="0"/>
    <n v="1059"/>
    <x v="1"/>
    <s v="USD"/>
    <n v="1463029200"/>
    <n v="1465016400"/>
    <b v="0"/>
    <b v="1"/>
    <s v="music/indie rock"/>
    <m/>
    <x v="1"/>
    <s v="indie rock"/>
  </r>
  <r>
    <n v="155"/>
    <s v="Hall-Schaefer"/>
    <s v="Distributed eco-centric methodology"/>
    <n v="139500"/>
    <n v="90706"/>
    <x v="0"/>
    <n v="1194"/>
    <x v="1"/>
    <s v="USD"/>
    <n v="1269493200"/>
    <n v="1270789200"/>
    <b v="0"/>
    <b v="0"/>
    <s v="theater/plays"/>
    <m/>
    <x v="3"/>
    <s v="plays"/>
  </r>
  <r>
    <n v="156"/>
    <s v="Meza-Rogers"/>
    <s v="Streamlined encompassing encryption"/>
    <n v="36400"/>
    <n v="26914"/>
    <x v="3"/>
    <n v="379"/>
    <x v="2"/>
    <s v="AUD"/>
    <n v="1570251600"/>
    <n v="1572325200"/>
    <b v="0"/>
    <b v="0"/>
    <s v="music/rock"/>
    <m/>
    <x v="1"/>
    <s v="rock"/>
  </r>
  <r>
    <n v="157"/>
    <s v="Curtis-Curtis"/>
    <s v="User-friendly reciprocal initiative"/>
    <n v="4200"/>
    <n v="2212"/>
    <x v="0"/>
    <n v="30"/>
    <x v="2"/>
    <s v="AUD"/>
    <n v="1388383200"/>
    <n v="1389420000"/>
    <b v="0"/>
    <b v="0"/>
    <s v="photography/photography books"/>
    <m/>
    <x v="7"/>
    <s v="photography books"/>
  </r>
  <r>
    <n v="158"/>
    <s v="Carlson Inc"/>
    <s v="Ergonomic fresh-thinking installation"/>
    <n v="2100"/>
    <n v="4640"/>
    <x v="1"/>
    <n v="41"/>
    <x v="1"/>
    <s v="USD"/>
    <n v="1449554400"/>
    <n v="1449640800"/>
    <b v="0"/>
    <b v="0"/>
    <s v="music/rock"/>
    <m/>
    <x v="1"/>
    <s v="rock"/>
  </r>
  <r>
    <n v="159"/>
    <s v="Clarke, Anderson and Lee"/>
    <s v="Robust explicit hardware"/>
    <n v="191200"/>
    <n v="191222"/>
    <x v="1"/>
    <n v="1821"/>
    <x v="1"/>
    <s v="USD"/>
    <n v="1553662800"/>
    <n v="1555218000"/>
    <b v="0"/>
    <b v="1"/>
    <s v="theater/plays"/>
    <m/>
    <x v="3"/>
    <s v="plays"/>
  </r>
  <r>
    <n v="160"/>
    <s v="Evans Group"/>
    <s v="Stand-alone actuating support"/>
    <n v="8000"/>
    <n v="12985"/>
    <x v="1"/>
    <n v="164"/>
    <x v="1"/>
    <s v="USD"/>
    <n v="1556341200"/>
    <n v="1557723600"/>
    <b v="0"/>
    <b v="0"/>
    <s v="technology/wearables"/>
    <m/>
    <x v="2"/>
    <s v="wearables"/>
  </r>
  <r>
    <n v="161"/>
    <s v="Bruce Group"/>
    <s v="Cross-platform methodical process improvement"/>
    <n v="5500"/>
    <n v="4300"/>
    <x v="0"/>
    <n v="75"/>
    <x v="1"/>
    <s v="USD"/>
    <n v="1442984400"/>
    <n v="1443502800"/>
    <b v="0"/>
    <b v="1"/>
    <s v="technology/web"/>
    <m/>
    <x v="2"/>
    <s v="web"/>
  </r>
  <r>
    <n v="162"/>
    <s v="Keith, Alvarez and Potter"/>
    <s v="Extended bottom-line open architecture"/>
    <n v="6100"/>
    <n v="9134"/>
    <x v="1"/>
    <n v="157"/>
    <x v="5"/>
    <s v="CHF"/>
    <n v="1544248800"/>
    <n v="1546840800"/>
    <b v="0"/>
    <b v="0"/>
    <s v="music/rock"/>
    <m/>
    <x v="1"/>
    <s v="rock"/>
  </r>
  <r>
    <n v="163"/>
    <s v="Burton-Watkins"/>
    <s v="Extended reciprocal circuit"/>
    <n v="3500"/>
    <n v="8864"/>
    <x v="1"/>
    <n v="246"/>
    <x v="1"/>
    <s v="USD"/>
    <n v="1508475600"/>
    <n v="1512712800"/>
    <b v="0"/>
    <b v="1"/>
    <s v="photography/photography books"/>
    <m/>
    <x v="7"/>
    <s v="photography books"/>
  </r>
  <r>
    <n v="164"/>
    <s v="Lopez and Sons"/>
    <s v="Polarized human-resource protocol"/>
    <n v="150500"/>
    <n v="150755"/>
    <x v="1"/>
    <n v="1396"/>
    <x v="1"/>
    <s v="USD"/>
    <n v="1507438800"/>
    <n v="1507525200"/>
    <b v="0"/>
    <b v="0"/>
    <s v="theater/plays"/>
    <m/>
    <x v="3"/>
    <s v="plays"/>
  </r>
  <r>
    <n v="165"/>
    <s v="Cordova Ltd"/>
    <s v="Synergized radical product"/>
    <n v="90400"/>
    <n v="110279"/>
    <x v="1"/>
    <n v="2506"/>
    <x v="1"/>
    <s v="USD"/>
    <n v="1501563600"/>
    <n v="1504328400"/>
    <b v="0"/>
    <b v="0"/>
    <s v="technology/web"/>
    <m/>
    <x v="2"/>
    <s v="web"/>
  </r>
  <r>
    <n v="166"/>
    <s v="Brown-Vang"/>
    <s v="Robust heuristic artificial intelligence"/>
    <n v="9800"/>
    <n v="13439"/>
    <x v="1"/>
    <n v="244"/>
    <x v="1"/>
    <s v="USD"/>
    <n v="1292997600"/>
    <n v="1293343200"/>
    <b v="0"/>
    <b v="0"/>
    <s v="photography/photography books"/>
    <m/>
    <x v="7"/>
    <s v="photography books"/>
  </r>
  <r>
    <n v="167"/>
    <s v="Cruz-Ward"/>
    <s v="Robust content-based emulation"/>
    <n v="2600"/>
    <n v="10804"/>
    <x v="1"/>
    <n v="146"/>
    <x v="2"/>
    <s v="AUD"/>
    <n v="1370840400"/>
    <n v="1371704400"/>
    <b v="0"/>
    <b v="0"/>
    <s v="theater/plays"/>
    <m/>
    <x v="3"/>
    <s v="plays"/>
  </r>
  <r>
    <n v="168"/>
    <s v="Hernandez Group"/>
    <s v="Ergonomic uniform open system"/>
    <n v="128100"/>
    <n v="40107"/>
    <x v="0"/>
    <n v="955"/>
    <x v="3"/>
    <s v="DKK"/>
    <n v="1550815200"/>
    <n v="1552798800"/>
    <b v="0"/>
    <b v="1"/>
    <s v="music/indie rock"/>
    <m/>
    <x v="1"/>
    <s v="indie rock"/>
  </r>
  <r>
    <n v="169"/>
    <s v="Tran, Steele and Wilson"/>
    <s v="Profit-focused modular product"/>
    <n v="23300"/>
    <n v="98811"/>
    <x v="1"/>
    <n v="1267"/>
    <x v="1"/>
    <s v="USD"/>
    <n v="1339909200"/>
    <n v="1342328400"/>
    <b v="0"/>
    <b v="1"/>
    <s v="film &amp; video/shorts"/>
    <m/>
    <x v="4"/>
    <s v="shorts"/>
  </r>
  <r>
    <n v="170"/>
    <s v="Summers, Gallegos and Stein"/>
    <s v="Mandatory mobile product"/>
    <n v="188100"/>
    <n v="5528"/>
    <x v="0"/>
    <n v="67"/>
    <x v="1"/>
    <s v="USD"/>
    <n v="1501736400"/>
    <n v="1502341200"/>
    <b v="0"/>
    <b v="0"/>
    <s v="music/indie rock"/>
    <m/>
    <x v="1"/>
    <s v="indie rock"/>
  </r>
  <r>
    <n v="171"/>
    <s v="Blair Group"/>
    <s v="Public-key 3rdgeneration budgetary management"/>
    <n v="4900"/>
    <n v="521"/>
    <x v="0"/>
    <n v="5"/>
    <x v="1"/>
    <s v="USD"/>
    <n v="1395291600"/>
    <n v="1397192400"/>
    <b v="0"/>
    <b v="0"/>
    <s v="publishing/translations"/>
    <m/>
    <x v="5"/>
    <s v="translations"/>
  </r>
  <r>
    <n v="172"/>
    <s v="Nixon Inc"/>
    <s v="Centralized national firmware"/>
    <n v="800"/>
    <n v="663"/>
    <x v="0"/>
    <n v="26"/>
    <x v="1"/>
    <s v="USD"/>
    <n v="1405746000"/>
    <n v="1407042000"/>
    <b v="0"/>
    <b v="1"/>
    <s v="film &amp; video/documentary"/>
    <m/>
    <x v="4"/>
    <s v="documentary"/>
  </r>
  <r>
    <n v="173"/>
    <s v="White LLC"/>
    <s v="Cross-group 4thgeneration middleware"/>
    <n v="96700"/>
    <n v="157635"/>
    <x v="1"/>
    <n v="1561"/>
    <x v="1"/>
    <s v="USD"/>
    <n v="1368853200"/>
    <n v="1369371600"/>
    <b v="0"/>
    <b v="0"/>
    <s v="theater/plays"/>
    <m/>
    <x v="3"/>
    <s v="plays"/>
  </r>
  <r>
    <n v="174"/>
    <s v="Santos, Black and Donovan"/>
    <s v="Pre-emptive scalable access"/>
    <n v="600"/>
    <n v="5368"/>
    <x v="1"/>
    <n v="48"/>
    <x v="1"/>
    <s v="USD"/>
    <n v="1444021200"/>
    <n v="1444107600"/>
    <b v="0"/>
    <b v="1"/>
    <s v="technology/wearables"/>
    <m/>
    <x v="2"/>
    <s v="wearables"/>
  </r>
  <r>
    <n v="175"/>
    <s v="Jones, Contreras and Burnett"/>
    <s v="Sharable intangible migration"/>
    <n v="181200"/>
    <n v="47459"/>
    <x v="0"/>
    <n v="1130"/>
    <x v="1"/>
    <s v="USD"/>
    <n v="1472619600"/>
    <n v="1474261200"/>
    <b v="0"/>
    <b v="0"/>
    <s v="theater/plays"/>
    <m/>
    <x v="3"/>
    <s v="plays"/>
  </r>
  <r>
    <n v="176"/>
    <s v="Stone-Orozco"/>
    <s v="Proactive scalable Graphical User Interface"/>
    <n v="115000"/>
    <n v="86060"/>
    <x v="0"/>
    <n v="782"/>
    <x v="1"/>
    <s v="USD"/>
    <n v="1472878800"/>
    <n v="1473656400"/>
    <b v="0"/>
    <b v="0"/>
    <s v="theater/plays"/>
    <m/>
    <x v="3"/>
    <s v="plays"/>
  </r>
  <r>
    <n v="177"/>
    <s v="Lee, Gibson and Morgan"/>
    <s v="Digitized solution-oriented product"/>
    <n v="38800"/>
    <n v="161593"/>
    <x v="1"/>
    <n v="2739"/>
    <x v="1"/>
    <s v="USD"/>
    <n v="1289800800"/>
    <n v="1291960800"/>
    <b v="0"/>
    <b v="0"/>
    <s v="theater/plays"/>
    <m/>
    <x v="3"/>
    <s v="plays"/>
  </r>
  <r>
    <n v="178"/>
    <s v="Alexander-Williams"/>
    <s v="Triple-buffered cohesive structure"/>
    <n v="7200"/>
    <n v="6927"/>
    <x v="0"/>
    <n v="210"/>
    <x v="1"/>
    <s v="USD"/>
    <n v="1505970000"/>
    <n v="1506747600"/>
    <b v="0"/>
    <b v="0"/>
    <s v="food/food trucks"/>
    <m/>
    <x v="0"/>
    <s v="food trucks"/>
  </r>
  <r>
    <n v="179"/>
    <s v="Marks Ltd"/>
    <s v="Realigned human-resource orchestration"/>
    <n v="44500"/>
    <n v="159185"/>
    <x v="1"/>
    <n v="3537"/>
    <x v="0"/>
    <s v="CAD"/>
    <n v="1363496400"/>
    <n v="1363582800"/>
    <b v="0"/>
    <b v="1"/>
    <s v="theater/plays"/>
    <m/>
    <x v="3"/>
    <s v="plays"/>
  </r>
  <r>
    <n v="180"/>
    <s v="Olsen, Edwards and Reid"/>
    <s v="Optional clear-thinking software"/>
    <n v="56000"/>
    <n v="172736"/>
    <x v="1"/>
    <n v="2107"/>
    <x v="2"/>
    <s v="AUD"/>
    <n v="1269234000"/>
    <n v="1269666000"/>
    <b v="0"/>
    <b v="0"/>
    <s v="technology/wearables"/>
    <m/>
    <x v="2"/>
    <s v="wearables"/>
  </r>
  <r>
    <n v="181"/>
    <s v="Daniels, Rose and Tyler"/>
    <s v="Centralized global approach"/>
    <n v="8600"/>
    <n v="5315"/>
    <x v="0"/>
    <n v="136"/>
    <x v="1"/>
    <s v="USD"/>
    <n v="1507093200"/>
    <n v="1508648400"/>
    <b v="0"/>
    <b v="0"/>
    <s v="technology/web"/>
    <m/>
    <x v="2"/>
    <s v="web"/>
  </r>
  <r>
    <n v="182"/>
    <s v="Adams Group"/>
    <s v="Reverse-engineered bandwidth-monitored contingency"/>
    <n v="27100"/>
    <n v="195750"/>
    <x v="1"/>
    <n v="3318"/>
    <x v="3"/>
    <s v="DKK"/>
    <n v="1560574800"/>
    <n v="1561957200"/>
    <b v="0"/>
    <b v="0"/>
    <s v="theater/plays"/>
    <m/>
    <x v="3"/>
    <s v="plays"/>
  </r>
  <r>
    <n v="183"/>
    <s v="Rogers, Huerta and Medina"/>
    <s v="Pre-emptive bandwidth-monitored instruction set"/>
    <n v="5100"/>
    <n v="3525"/>
    <x v="0"/>
    <n v="86"/>
    <x v="0"/>
    <s v="CAD"/>
    <n v="1284008400"/>
    <n v="1285131600"/>
    <b v="0"/>
    <b v="0"/>
    <s v="music/rock"/>
    <m/>
    <x v="1"/>
    <s v="rock"/>
  </r>
  <r>
    <n v="184"/>
    <s v="Howard, Carter and Griffith"/>
    <s v="Adaptive asynchronous emulation"/>
    <n v="3600"/>
    <n v="10550"/>
    <x v="1"/>
    <n v="340"/>
    <x v="1"/>
    <s v="USD"/>
    <n v="1556859600"/>
    <n v="1556946000"/>
    <b v="0"/>
    <b v="0"/>
    <s v="theater/plays"/>
    <m/>
    <x v="3"/>
    <s v="plays"/>
  </r>
  <r>
    <n v="185"/>
    <s v="Bailey PLC"/>
    <s v="Innovative actuating conglomeration"/>
    <n v="1000"/>
    <n v="718"/>
    <x v="0"/>
    <n v="19"/>
    <x v="1"/>
    <s v="USD"/>
    <n v="1526187600"/>
    <n v="1527138000"/>
    <b v="0"/>
    <b v="0"/>
    <s v="film &amp; video/television"/>
    <m/>
    <x v="4"/>
    <s v="television"/>
  </r>
  <r>
    <n v="186"/>
    <s v="Parker Group"/>
    <s v="Grass-roots foreground policy"/>
    <n v="88800"/>
    <n v="28358"/>
    <x v="0"/>
    <n v="886"/>
    <x v="1"/>
    <s v="USD"/>
    <n v="1400821200"/>
    <n v="1402117200"/>
    <b v="0"/>
    <b v="0"/>
    <s v="theater/plays"/>
    <m/>
    <x v="3"/>
    <s v="plays"/>
  </r>
  <r>
    <n v="187"/>
    <s v="Fox Group"/>
    <s v="Horizontal transitional paradigm"/>
    <n v="60200"/>
    <n v="138384"/>
    <x v="1"/>
    <n v="1442"/>
    <x v="0"/>
    <s v="CAD"/>
    <n v="1361599200"/>
    <n v="1364014800"/>
    <b v="0"/>
    <b v="1"/>
    <s v="film &amp; video/shorts"/>
    <m/>
    <x v="4"/>
    <s v="shorts"/>
  </r>
  <r>
    <n v="188"/>
    <s v="Walker, Jones and Rodriguez"/>
    <s v="Networked didactic info-mediaries"/>
    <n v="8200"/>
    <n v="2625"/>
    <x v="0"/>
    <n v="35"/>
    <x v="6"/>
    <s v="EUR"/>
    <n v="1417500000"/>
    <n v="1417586400"/>
    <b v="0"/>
    <b v="0"/>
    <s v="theater/plays"/>
    <m/>
    <x v="3"/>
    <s v="plays"/>
  </r>
  <r>
    <n v="189"/>
    <s v="Anthony-Shaw"/>
    <s v="Switchable contextually-based access"/>
    <n v="191300"/>
    <n v="45004"/>
    <x v="3"/>
    <n v="441"/>
    <x v="1"/>
    <s v="USD"/>
    <n v="1457071200"/>
    <n v="1457071200"/>
    <b v="0"/>
    <b v="0"/>
    <s v="theater/plays"/>
    <m/>
    <x v="3"/>
    <s v="plays"/>
  </r>
  <r>
    <n v="190"/>
    <s v="Cook LLC"/>
    <s v="Up-sized dynamic throughput"/>
    <n v="3700"/>
    <n v="2538"/>
    <x v="0"/>
    <n v="24"/>
    <x v="1"/>
    <s v="USD"/>
    <n v="1370322000"/>
    <n v="1370408400"/>
    <b v="0"/>
    <b v="1"/>
    <s v="theater/plays"/>
    <m/>
    <x v="3"/>
    <s v="plays"/>
  </r>
  <r>
    <n v="191"/>
    <s v="Sutton PLC"/>
    <s v="Mandatory reciprocal superstructure"/>
    <n v="8400"/>
    <n v="3188"/>
    <x v="0"/>
    <n v="86"/>
    <x v="6"/>
    <s v="EUR"/>
    <n v="1552366800"/>
    <n v="1552626000"/>
    <b v="0"/>
    <b v="0"/>
    <s v="theater/plays"/>
    <m/>
    <x v="3"/>
    <s v="plays"/>
  </r>
  <r>
    <n v="192"/>
    <s v="Long, Morgan and Mitchell"/>
    <s v="Upgradable 4thgeneration productivity"/>
    <n v="42600"/>
    <n v="8517"/>
    <x v="0"/>
    <n v="243"/>
    <x v="1"/>
    <s v="USD"/>
    <n v="1403845200"/>
    <n v="1404190800"/>
    <b v="0"/>
    <b v="0"/>
    <s v="music/rock"/>
    <m/>
    <x v="1"/>
    <s v="rock"/>
  </r>
  <r>
    <n v="193"/>
    <s v="Calhoun, Rogers and Long"/>
    <s v="Progressive discrete hub"/>
    <n v="6600"/>
    <n v="3012"/>
    <x v="0"/>
    <n v="65"/>
    <x v="1"/>
    <s v="USD"/>
    <n v="1523163600"/>
    <n v="1523509200"/>
    <b v="1"/>
    <b v="0"/>
    <s v="music/indie rock"/>
    <m/>
    <x v="1"/>
    <s v="indie rock"/>
  </r>
  <r>
    <n v="194"/>
    <s v="Sandoval Group"/>
    <s v="Assimilated multi-tasking archive"/>
    <n v="7100"/>
    <n v="8716"/>
    <x v="1"/>
    <n v="126"/>
    <x v="1"/>
    <s v="USD"/>
    <n v="1442206800"/>
    <n v="1443589200"/>
    <b v="0"/>
    <b v="0"/>
    <s v="music/metal"/>
    <m/>
    <x v="1"/>
    <s v="metal"/>
  </r>
  <r>
    <n v="195"/>
    <s v="Smith and Sons"/>
    <s v="Upgradable high-level solution"/>
    <n v="15800"/>
    <n v="57157"/>
    <x v="1"/>
    <n v="524"/>
    <x v="1"/>
    <s v="USD"/>
    <n v="1532840400"/>
    <n v="1533445200"/>
    <b v="0"/>
    <b v="0"/>
    <s v="music/electric music"/>
    <m/>
    <x v="1"/>
    <s v="electric music"/>
  </r>
  <r>
    <n v="196"/>
    <s v="King Inc"/>
    <s v="Organic bandwidth-monitored frame"/>
    <n v="8200"/>
    <n v="5178"/>
    <x v="0"/>
    <n v="100"/>
    <x v="3"/>
    <s v="DKK"/>
    <n v="1472878800"/>
    <n v="1474520400"/>
    <b v="0"/>
    <b v="0"/>
    <s v="technology/wearables"/>
    <m/>
    <x v="2"/>
    <s v="wearables"/>
  </r>
  <r>
    <n v="197"/>
    <s v="Perry and Sons"/>
    <s v="Business-focused logistical framework"/>
    <n v="54700"/>
    <n v="163118"/>
    <x v="1"/>
    <n v="1989"/>
    <x v="1"/>
    <s v="USD"/>
    <n v="1498194000"/>
    <n v="1499403600"/>
    <b v="0"/>
    <b v="0"/>
    <s v="film &amp; video/drama"/>
    <m/>
    <x v="4"/>
    <s v="drama"/>
  </r>
  <r>
    <n v="198"/>
    <s v="Palmer Inc"/>
    <s v="Universal multi-state capability"/>
    <n v="63200"/>
    <n v="6041"/>
    <x v="0"/>
    <n v="168"/>
    <x v="1"/>
    <s v="USD"/>
    <n v="1281070800"/>
    <n v="1283576400"/>
    <b v="0"/>
    <b v="0"/>
    <s v="music/electric music"/>
    <m/>
    <x v="1"/>
    <s v="electric music"/>
  </r>
  <r>
    <n v="199"/>
    <s v="Hull, Baker and Martinez"/>
    <s v="Digitized reciprocal infrastructure"/>
    <n v="1800"/>
    <n v="968"/>
    <x v="0"/>
    <n v="13"/>
    <x v="1"/>
    <s v="USD"/>
    <n v="1436245200"/>
    <n v="1436590800"/>
    <b v="0"/>
    <b v="0"/>
    <s v="music/rock"/>
    <m/>
    <x v="1"/>
    <s v="rock"/>
  </r>
  <r>
    <n v="200"/>
    <s v="Becker, Rice and White"/>
    <s v="Reduced dedicated capability"/>
    <n v="100"/>
    <n v="2"/>
    <x v="0"/>
    <n v="1"/>
    <x v="0"/>
    <s v="CAD"/>
    <n v="1269493200"/>
    <n v="1270443600"/>
    <b v="0"/>
    <b v="0"/>
    <s v="theater/plays"/>
    <m/>
    <x v="3"/>
    <s v="plays"/>
  </r>
  <r>
    <n v="201"/>
    <s v="Osborne, Perkins and Knox"/>
    <s v="Cross-platform bi-directional workforce"/>
    <n v="2100"/>
    <n v="14305"/>
    <x v="1"/>
    <n v="157"/>
    <x v="1"/>
    <s v="USD"/>
    <n v="1406264400"/>
    <n v="1407819600"/>
    <b v="0"/>
    <b v="0"/>
    <s v="technology/web"/>
    <m/>
    <x v="2"/>
    <s v="web"/>
  </r>
  <r>
    <n v="202"/>
    <s v="Mcknight-Freeman"/>
    <s v="Upgradable scalable methodology"/>
    <n v="8300"/>
    <n v="6543"/>
    <x v="3"/>
    <n v="82"/>
    <x v="1"/>
    <s v="USD"/>
    <n v="1317531600"/>
    <n v="1317877200"/>
    <b v="0"/>
    <b v="0"/>
    <s v="food/food trucks"/>
    <m/>
    <x v="0"/>
    <s v="food trucks"/>
  </r>
  <r>
    <n v="203"/>
    <s v="Hayden, Shannon and Stein"/>
    <s v="Customer-focused client-server service-desk"/>
    <n v="143900"/>
    <n v="193413"/>
    <x v="1"/>
    <n v="4498"/>
    <x v="2"/>
    <s v="AUD"/>
    <n v="1484632800"/>
    <n v="1484805600"/>
    <b v="0"/>
    <b v="0"/>
    <s v="theater/plays"/>
    <m/>
    <x v="3"/>
    <s v="plays"/>
  </r>
  <r>
    <n v="204"/>
    <s v="Daniel-Luna"/>
    <s v="Mandatory multimedia leverage"/>
    <n v="75000"/>
    <n v="2529"/>
    <x v="0"/>
    <n v="40"/>
    <x v="1"/>
    <s v="USD"/>
    <n v="1301806800"/>
    <n v="1302670800"/>
    <b v="0"/>
    <b v="0"/>
    <s v="music/jazz"/>
    <m/>
    <x v="1"/>
    <s v="jazz"/>
  </r>
  <r>
    <n v="205"/>
    <s v="Weaver-Marquez"/>
    <s v="Focused analyzing circuit"/>
    <n v="1300"/>
    <n v="5614"/>
    <x v="1"/>
    <n v="80"/>
    <x v="1"/>
    <s v="USD"/>
    <n v="1539752400"/>
    <n v="1540789200"/>
    <b v="1"/>
    <b v="0"/>
    <s v="theater/plays"/>
    <m/>
    <x v="3"/>
    <s v="plays"/>
  </r>
  <r>
    <n v="206"/>
    <s v="Austin, Baker and Kelley"/>
    <s v="Fundamental grid-enabled strategy"/>
    <n v="9000"/>
    <n v="3496"/>
    <x v="3"/>
    <n v="57"/>
    <x v="1"/>
    <s v="USD"/>
    <n v="1267250400"/>
    <n v="1268028000"/>
    <b v="0"/>
    <b v="0"/>
    <s v="publishing/fiction"/>
    <m/>
    <x v="5"/>
    <s v="fiction"/>
  </r>
  <r>
    <n v="207"/>
    <s v="Carney-Anderson"/>
    <s v="Digitized 5thgeneration knowledgebase"/>
    <n v="1000"/>
    <n v="4257"/>
    <x v="1"/>
    <n v="43"/>
    <x v="1"/>
    <s v="USD"/>
    <n v="1535432400"/>
    <n v="1537160400"/>
    <b v="0"/>
    <b v="1"/>
    <s v="music/rock"/>
    <m/>
    <x v="1"/>
    <s v="rock"/>
  </r>
  <r>
    <n v="208"/>
    <s v="Jackson Inc"/>
    <s v="Mandatory multi-tasking encryption"/>
    <n v="196900"/>
    <n v="199110"/>
    <x v="1"/>
    <n v="2053"/>
    <x v="1"/>
    <s v="USD"/>
    <n v="1510207200"/>
    <n v="1512280800"/>
    <b v="0"/>
    <b v="0"/>
    <s v="film &amp; video/documentary"/>
    <m/>
    <x v="4"/>
    <s v="documentary"/>
  </r>
  <r>
    <n v="209"/>
    <s v="Warren Ltd"/>
    <s v="Distributed system-worthy application"/>
    <n v="194500"/>
    <n v="41212"/>
    <x v="2"/>
    <n v="808"/>
    <x v="2"/>
    <s v="AUD"/>
    <n v="1462510800"/>
    <n v="1463115600"/>
    <b v="0"/>
    <b v="0"/>
    <s v="film &amp; video/documentary"/>
    <m/>
    <x v="4"/>
    <s v="documentary"/>
  </r>
  <r>
    <n v="210"/>
    <s v="Schultz Inc"/>
    <s v="Synergistic tertiary time-frame"/>
    <n v="9400"/>
    <n v="6338"/>
    <x v="0"/>
    <n v="226"/>
    <x v="3"/>
    <s v="DKK"/>
    <n v="1488520800"/>
    <n v="1490850000"/>
    <b v="0"/>
    <b v="0"/>
    <s v="film &amp; video/science fiction"/>
    <m/>
    <x v="4"/>
    <s v="science fiction"/>
  </r>
  <r>
    <n v="211"/>
    <s v="Thompson LLC"/>
    <s v="Customer-focused impactful benchmark"/>
    <n v="104400"/>
    <n v="99100"/>
    <x v="0"/>
    <n v="1625"/>
    <x v="1"/>
    <s v="USD"/>
    <n v="1377579600"/>
    <n v="1379653200"/>
    <b v="0"/>
    <b v="0"/>
    <s v="theater/plays"/>
    <m/>
    <x v="3"/>
    <s v="plays"/>
  </r>
  <r>
    <n v="212"/>
    <s v="Johnson Inc"/>
    <s v="Profound next generation infrastructure"/>
    <n v="8100"/>
    <n v="12300"/>
    <x v="1"/>
    <n v="168"/>
    <x v="1"/>
    <s v="USD"/>
    <n v="1576389600"/>
    <n v="1580364000"/>
    <b v="0"/>
    <b v="0"/>
    <s v="theater/plays"/>
    <m/>
    <x v="3"/>
    <s v="plays"/>
  </r>
  <r>
    <n v="213"/>
    <s v="Morgan-Warren"/>
    <s v="Face-to-face encompassing info-mediaries"/>
    <n v="87900"/>
    <n v="171549"/>
    <x v="1"/>
    <n v="4289"/>
    <x v="1"/>
    <s v="USD"/>
    <n v="1289019600"/>
    <n v="1289714400"/>
    <b v="0"/>
    <b v="1"/>
    <s v="music/indie rock"/>
    <m/>
    <x v="1"/>
    <s v="indie rock"/>
  </r>
  <r>
    <n v="214"/>
    <s v="Sullivan Group"/>
    <s v="Open-source fresh-thinking policy"/>
    <n v="1400"/>
    <n v="14324"/>
    <x v="1"/>
    <n v="165"/>
    <x v="1"/>
    <s v="USD"/>
    <n v="1282194000"/>
    <n v="1282712400"/>
    <b v="0"/>
    <b v="0"/>
    <s v="music/rock"/>
    <m/>
    <x v="1"/>
    <s v="rock"/>
  </r>
  <r>
    <n v="215"/>
    <s v="Vargas, Banks and Palmer"/>
    <s v="Extended 24/7 implementation"/>
    <n v="156800"/>
    <n v="6024"/>
    <x v="0"/>
    <n v="143"/>
    <x v="1"/>
    <s v="USD"/>
    <n v="1550037600"/>
    <n v="1550210400"/>
    <b v="0"/>
    <b v="0"/>
    <s v="theater/plays"/>
    <m/>
    <x v="3"/>
    <s v="plays"/>
  </r>
  <r>
    <n v="216"/>
    <s v="Johnson, Dixon and Zimmerman"/>
    <s v="Organic dynamic algorithm"/>
    <n v="121700"/>
    <n v="188721"/>
    <x v="1"/>
    <n v="1815"/>
    <x v="1"/>
    <s v="USD"/>
    <n v="1321941600"/>
    <n v="1322114400"/>
    <b v="0"/>
    <b v="0"/>
    <s v="theater/plays"/>
    <m/>
    <x v="3"/>
    <s v="plays"/>
  </r>
  <r>
    <n v="217"/>
    <s v="Moore, Dudley and Navarro"/>
    <s v="Organic multi-tasking focus group"/>
    <n v="129400"/>
    <n v="57911"/>
    <x v="0"/>
    <n v="934"/>
    <x v="1"/>
    <s v="USD"/>
    <n v="1556427600"/>
    <n v="1557205200"/>
    <b v="0"/>
    <b v="0"/>
    <s v="film &amp; video/science fiction"/>
    <m/>
    <x v="4"/>
    <s v="science fiction"/>
  </r>
  <r>
    <n v="218"/>
    <s v="Price-Rodriguez"/>
    <s v="Adaptive logistical initiative"/>
    <n v="5700"/>
    <n v="12309"/>
    <x v="1"/>
    <n v="397"/>
    <x v="4"/>
    <s v="GBP"/>
    <n v="1320991200"/>
    <n v="1323928800"/>
    <b v="0"/>
    <b v="1"/>
    <s v="film &amp; video/shorts"/>
    <m/>
    <x v="4"/>
    <s v="shorts"/>
  </r>
  <r>
    <n v="219"/>
    <s v="Huang-Henderson"/>
    <s v="Stand-alone mobile customer loyalty"/>
    <n v="41700"/>
    <n v="138497"/>
    <x v="1"/>
    <n v="1539"/>
    <x v="1"/>
    <s v="USD"/>
    <n v="1345093200"/>
    <n v="1346130000"/>
    <b v="0"/>
    <b v="0"/>
    <s v="film &amp; video/animation"/>
    <m/>
    <x v="4"/>
    <s v="animation"/>
  </r>
  <r>
    <n v="220"/>
    <s v="Owens-Le"/>
    <s v="Focused composite approach"/>
    <n v="7900"/>
    <n v="667"/>
    <x v="0"/>
    <n v="17"/>
    <x v="1"/>
    <s v="USD"/>
    <n v="1309496400"/>
    <n v="1311051600"/>
    <b v="1"/>
    <b v="0"/>
    <s v="theater/plays"/>
    <m/>
    <x v="3"/>
    <s v="plays"/>
  </r>
  <r>
    <n v="221"/>
    <s v="Huff LLC"/>
    <s v="Face-to-face clear-thinking Local Area Network"/>
    <n v="121500"/>
    <n v="119830"/>
    <x v="0"/>
    <n v="2179"/>
    <x v="1"/>
    <s v="USD"/>
    <n v="1340254800"/>
    <n v="1340427600"/>
    <b v="1"/>
    <b v="0"/>
    <s v="food/food trucks"/>
    <m/>
    <x v="0"/>
    <s v="food trucks"/>
  </r>
  <r>
    <n v="222"/>
    <s v="Johnson LLC"/>
    <s v="Cross-group cohesive circuit"/>
    <n v="4800"/>
    <n v="6623"/>
    <x v="1"/>
    <n v="138"/>
    <x v="1"/>
    <s v="USD"/>
    <n v="1412226000"/>
    <n v="1412312400"/>
    <b v="0"/>
    <b v="0"/>
    <s v="photography/photography books"/>
    <m/>
    <x v="7"/>
    <s v="photography books"/>
  </r>
  <r>
    <n v="223"/>
    <s v="Chavez, Garcia and Cantu"/>
    <s v="Synergistic explicit capability"/>
    <n v="87300"/>
    <n v="81897"/>
    <x v="0"/>
    <n v="931"/>
    <x v="1"/>
    <s v="USD"/>
    <n v="1458104400"/>
    <n v="1459314000"/>
    <b v="0"/>
    <b v="0"/>
    <s v="theater/plays"/>
    <m/>
    <x v="3"/>
    <s v="plays"/>
  </r>
  <r>
    <n v="224"/>
    <s v="Lester-Moore"/>
    <s v="Diverse analyzing definition"/>
    <n v="46300"/>
    <n v="186885"/>
    <x v="1"/>
    <n v="3594"/>
    <x v="1"/>
    <s v="USD"/>
    <n v="1411534800"/>
    <n v="1415426400"/>
    <b v="0"/>
    <b v="0"/>
    <s v="film &amp; video/science fiction"/>
    <m/>
    <x v="4"/>
    <s v="science fiction"/>
  </r>
  <r>
    <n v="225"/>
    <s v="Fox-Quinn"/>
    <s v="Enterprise-wide reciprocal success"/>
    <n v="67800"/>
    <n v="176398"/>
    <x v="1"/>
    <n v="5880"/>
    <x v="1"/>
    <s v="USD"/>
    <n v="1399093200"/>
    <n v="1399093200"/>
    <b v="1"/>
    <b v="0"/>
    <s v="music/rock"/>
    <m/>
    <x v="1"/>
    <s v="rock"/>
  </r>
  <r>
    <n v="226"/>
    <s v="Garcia Inc"/>
    <s v="Progressive neutral middleware"/>
    <n v="3000"/>
    <n v="10999"/>
    <x v="1"/>
    <n v="112"/>
    <x v="1"/>
    <s v="USD"/>
    <n v="1270702800"/>
    <n v="1273899600"/>
    <b v="0"/>
    <b v="0"/>
    <s v="photography/photography books"/>
    <m/>
    <x v="7"/>
    <s v="photography books"/>
  </r>
  <r>
    <n v="227"/>
    <s v="Johnson-Lee"/>
    <s v="Intuitive exuding process improvement"/>
    <n v="60900"/>
    <n v="102751"/>
    <x v="1"/>
    <n v="943"/>
    <x v="1"/>
    <s v="USD"/>
    <n v="1431666000"/>
    <n v="1432184400"/>
    <b v="0"/>
    <b v="0"/>
    <s v="games/mobile games"/>
    <m/>
    <x v="6"/>
    <s v="mobile games"/>
  </r>
  <r>
    <n v="228"/>
    <s v="Pineda Group"/>
    <s v="Exclusive real-time protocol"/>
    <n v="137900"/>
    <n v="165352"/>
    <x v="1"/>
    <n v="2468"/>
    <x v="1"/>
    <s v="USD"/>
    <n v="1472619600"/>
    <n v="1474779600"/>
    <b v="0"/>
    <b v="0"/>
    <s v="film &amp; video/animation"/>
    <m/>
    <x v="4"/>
    <s v="animation"/>
  </r>
  <r>
    <n v="229"/>
    <s v="Hoffman-Howard"/>
    <s v="Extended encompassing application"/>
    <n v="85600"/>
    <n v="165798"/>
    <x v="1"/>
    <n v="2551"/>
    <x v="1"/>
    <s v="USD"/>
    <n v="1496293200"/>
    <n v="1500440400"/>
    <b v="0"/>
    <b v="1"/>
    <s v="games/mobile games"/>
    <m/>
    <x v="6"/>
    <s v="mobile games"/>
  </r>
  <r>
    <n v="230"/>
    <s v="Miranda, Hall and Mcgrath"/>
    <s v="Progressive value-added ability"/>
    <n v="2400"/>
    <n v="10084"/>
    <x v="1"/>
    <n v="101"/>
    <x v="1"/>
    <s v="USD"/>
    <n v="1575612000"/>
    <n v="1575612000"/>
    <b v="0"/>
    <b v="0"/>
    <s v="games/video games"/>
    <m/>
    <x v="6"/>
    <s v="video games"/>
  </r>
  <r>
    <n v="231"/>
    <s v="Williams, Carter and Gonzalez"/>
    <s v="Cross-platform uniform hardware"/>
    <n v="7200"/>
    <n v="5523"/>
    <x v="3"/>
    <n v="67"/>
    <x v="1"/>
    <s v="USD"/>
    <n v="1369112400"/>
    <n v="1374123600"/>
    <b v="0"/>
    <b v="0"/>
    <s v="theater/plays"/>
    <m/>
    <x v="3"/>
    <s v="plays"/>
  </r>
  <r>
    <n v="232"/>
    <s v="Davis-Rodriguez"/>
    <s v="Progressive secondary portal"/>
    <n v="3400"/>
    <n v="5823"/>
    <x v="1"/>
    <n v="92"/>
    <x v="1"/>
    <s v="USD"/>
    <n v="1469422800"/>
    <n v="1469509200"/>
    <b v="0"/>
    <b v="0"/>
    <s v="theater/plays"/>
    <m/>
    <x v="3"/>
    <s v="plays"/>
  </r>
  <r>
    <n v="233"/>
    <s v="Reid, Rivera and Perry"/>
    <s v="Multi-lateral national adapter"/>
    <n v="3800"/>
    <n v="6000"/>
    <x v="1"/>
    <n v="62"/>
    <x v="1"/>
    <s v="USD"/>
    <n v="1307854800"/>
    <n v="1309237200"/>
    <b v="0"/>
    <b v="0"/>
    <s v="film &amp; video/animation"/>
    <m/>
    <x v="4"/>
    <s v="animation"/>
  </r>
  <r>
    <n v="234"/>
    <s v="Mendoza-Parker"/>
    <s v="Enterprise-wide motivating matrices"/>
    <n v="7500"/>
    <n v="8181"/>
    <x v="1"/>
    <n v="149"/>
    <x v="6"/>
    <s v="EUR"/>
    <n v="1503378000"/>
    <n v="1503982800"/>
    <b v="0"/>
    <b v="1"/>
    <s v="games/video games"/>
    <m/>
    <x v="6"/>
    <s v="video games"/>
  </r>
  <r>
    <n v="235"/>
    <s v="Lee, Ali and Guzman"/>
    <s v="Polarized upward-trending Local Area Network"/>
    <n v="8600"/>
    <n v="3589"/>
    <x v="0"/>
    <n v="92"/>
    <x v="1"/>
    <s v="USD"/>
    <n v="1486965600"/>
    <n v="1487397600"/>
    <b v="0"/>
    <b v="0"/>
    <s v="film &amp; video/animation"/>
    <m/>
    <x v="4"/>
    <s v="animation"/>
  </r>
  <r>
    <n v="236"/>
    <s v="Gallegos-Cobb"/>
    <s v="Object-based directional function"/>
    <n v="39500"/>
    <n v="4323"/>
    <x v="0"/>
    <n v="57"/>
    <x v="2"/>
    <s v="AUD"/>
    <n v="1561438800"/>
    <n v="1562043600"/>
    <b v="0"/>
    <b v="1"/>
    <s v="music/rock"/>
    <m/>
    <x v="1"/>
    <s v="rock"/>
  </r>
  <r>
    <n v="237"/>
    <s v="Ellison PLC"/>
    <s v="Re-contextualized tangible open architecture"/>
    <n v="9300"/>
    <n v="14822"/>
    <x v="1"/>
    <n v="329"/>
    <x v="1"/>
    <s v="USD"/>
    <n v="1398402000"/>
    <n v="1398574800"/>
    <b v="0"/>
    <b v="0"/>
    <s v="film &amp; video/animation"/>
    <m/>
    <x v="4"/>
    <s v="animation"/>
  </r>
  <r>
    <n v="238"/>
    <s v="Bolton, Sanchez and Carrillo"/>
    <s v="Distributed systemic adapter"/>
    <n v="2400"/>
    <n v="10138"/>
    <x v="1"/>
    <n v="97"/>
    <x v="3"/>
    <s v="DKK"/>
    <n v="1513231200"/>
    <n v="1515391200"/>
    <b v="0"/>
    <b v="1"/>
    <s v="theater/plays"/>
    <m/>
    <x v="3"/>
    <s v="plays"/>
  </r>
  <r>
    <n v="239"/>
    <s v="Mason-Sanders"/>
    <s v="Networked web-enabled instruction set"/>
    <n v="3200"/>
    <n v="3127"/>
    <x v="0"/>
    <n v="41"/>
    <x v="1"/>
    <s v="USD"/>
    <n v="1440824400"/>
    <n v="1441170000"/>
    <b v="0"/>
    <b v="0"/>
    <s v="technology/wearables"/>
    <m/>
    <x v="2"/>
    <s v="wearables"/>
  </r>
  <r>
    <n v="240"/>
    <s v="Pitts-Reed"/>
    <s v="Vision-oriented dynamic service-desk"/>
    <n v="29400"/>
    <n v="123124"/>
    <x v="1"/>
    <n v="1784"/>
    <x v="1"/>
    <s v="USD"/>
    <n v="1281070800"/>
    <n v="1281157200"/>
    <b v="0"/>
    <b v="0"/>
    <s v="theater/plays"/>
    <m/>
    <x v="3"/>
    <s v="plays"/>
  </r>
  <r>
    <n v="241"/>
    <s v="Gonzalez-Martinez"/>
    <s v="Vision-oriented actuating open system"/>
    <n v="168500"/>
    <n v="171729"/>
    <x v="1"/>
    <n v="1684"/>
    <x v="2"/>
    <s v="AUD"/>
    <n v="1397365200"/>
    <n v="1398229200"/>
    <b v="0"/>
    <b v="1"/>
    <s v="publishing/nonfiction"/>
    <m/>
    <x v="5"/>
    <s v="nonfiction"/>
  </r>
  <r>
    <n v="242"/>
    <s v="Hill, Martin and Garcia"/>
    <s v="Sharable scalable core"/>
    <n v="8400"/>
    <n v="10729"/>
    <x v="1"/>
    <n v="250"/>
    <x v="1"/>
    <s v="USD"/>
    <n v="1494392400"/>
    <n v="1495256400"/>
    <b v="0"/>
    <b v="1"/>
    <s v="music/rock"/>
    <m/>
    <x v="1"/>
    <s v="rock"/>
  </r>
  <r>
    <n v="243"/>
    <s v="Garcia PLC"/>
    <s v="Customer-focused attitude-oriented function"/>
    <n v="2300"/>
    <n v="10240"/>
    <x v="1"/>
    <n v="238"/>
    <x v="1"/>
    <s v="USD"/>
    <n v="1520143200"/>
    <n v="1520402400"/>
    <b v="0"/>
    <b v="0"/>
    <s v="theater/plays"/>
    <m/>
    <x v="3"/>
    <s v="plays"/>
  </r>
  <r>
    <n v="244"/>
    <s v="Herring-Bailey"/>
    <s v="Reverse-engineered system-worthy extranet"/>
    <n v="700"/>
    <n v="3988"/>
    <x v="1"/>
    <n v="53"/>
    <x v="1"/>
    <s v="USD"/>
    <n v="1405314000"/>
    <n v="1409806800"/>
    <b v="0"/>
    <b v="0"/>
    <s v="theater/plays"/>
    <m/>
    <x v="3"/>
    <s v="plays"/>
  </r>
  <r>
    <n v="245"/>
    <s v="Russell-Gardner"/>
    <s v="Re-engineered systematic monitoring"/>
    <n v="2900"/>
    <n v="14771"/>
    <x v="1"/>
    <n v="214"/>
    <x v="1"/>
    <s v="USD"/>
    <n v="1396846800"/>
    <n v="1396933200"/>
    <b v="0"/>
    <b v="0"/>
    <s v="theater/plays"/>
    <m/>
    <x v="3"/>
    <s v="plays"/>
  </r>
  <r>
    <n v="246"/>
    <s v="Walters-Carter"/>
    <s v="Seamless value-added standardization"/>
    <n v="4500"/>
    <n v="14649"/>
    <x v="1"/>
    <n v="222"/>
    <x v="1"/>
    <s v="USD"/>
    <n v="1375678800"/>
    <n v="1376024400"/>
    <b v="0"/>
    <b v="0"/>
    <s v="technology/web"/>
    <m/>
    <x v="2"/>
    <s v="web"/>
  </r>
  <r>
    <n v="247"/>
    <s v="Johnson, Patterson and Montoya"/>
    <s v="Triple-buffered fresh-thinking frame"/>
    <n v="19800"/>
    <n v="184658"/>
    <x v="1"/>
    <n v="1884"/>
    <x v="1"/>
    <s v="USD"/>
    <n v="1482386400"/>
    <n v="1483682400"/>
    <b v="0"/>
    <b v="1"/>
    <s v="publishing/fiction"/>
    <m/>
    <x v="5"/>
    <s v="fiction"/>
  </r>
  <r>
    <n v="248"/>
    <s v="Roberts and Sons"/>
    <s v="Streamlined holistic knowledgebase"/>
    <n v="6200"/>
    <n v="13103"/>
    <x v="1"/>
    <n v="218"/>
    <x v="2"/>
    <s v="AUD"/>
    <n v="1420005600"/>
    <n v="1420437600"/>
    <b v="0"/>
    <b v="0"/>
    <s v="games/mobile games"/>
    <m/>
    <x v="6"/>
    <s v="mobile games"/>
  </r>
  <r>
    <n v="249"/>
    <s v="Avila-Nelson"/>
    <s v="Up-sized intermediate website"/>
    <n v="61500"/>
    <n v="168095"/>
    <x v="1"/>
    <n v="6465"/>
    <x v="1"/>
    <s v="USD"/>
    <n v="1420178400"/>
    <n v="1420783200"/>
    <b v="0"/>
    <b v="0"/>
    <s v="publishing/translations"/>
    <m/>
    <x v="5"/>
    <s v="translations"/>
  </r>
  <r>
    <n v="250"/>
    <s v="Robbins and Sons"/>
    <s v="Future-proofed directional synergy"/>
    <n v="100"/>
    <n v="3"/>
    <x v="0"/>
    <n v="1"/>
    <x v="1"/>
    <s v="USD"/>
    <n v="1264399200"/>
    <n v="1267423200"/>
    <b v="0"/>
    <b v="0"/>
    <s v="music/rock"/>
    <m/>
    <x v="1"/>
    <s v="rock"/>
  </r>
  <r>
    <n v="251"/>
    <s v="Singleton Ltd"/>
    <s v="Enhanced user-facing function"/>
    <n v="7100"/>
    <n v="3840"/>
    <x v="0"/>
    <n v="101"/>
    <x v="1"/>
    <s v="USD"/>
    <n v="1355032800"/>
    <n v="1355205600"/>
    <b v="0"/>
    <b v="0"/>
    <s v="theater/plays"/>
    <m/>
    <x v="3"/>
    <s v="plays"/>
  </r>
  <r>
    <n v="252"/>
    <s v="Perez PLC"/>
    <s v="Operative bandwidth-monitored interface"/>
    <n v="1000"/>
    <n v="6263"/>
    <x v="1"/>
    <n v="59"/>
    <x v="1"/>
    <s v="USD"/>
    <n v="1382677200"/>
    <n v="1383109200"/>
    <b v="0"/>
    <b v="0"/>
    <s v="theater/plays"/>
    <m/>
    <x v="3"/>
    <s v="plays"/>
  </r>
  <r>
    <n v="253"/>
    <s v="Rogers, Jacobs and Jackson"/>
    <s v="Upgradable multi-state instruction set"/>
    <n v="121500"/>
    <n v="108161"/>
    <x v="0"/>
    <n v="1335"/>
    <x v="0"/>
    <s v="CAD"/>
    <n v="1302238800"/>
    <n v="1303275600"/>
    <b v="0"/>
    <b v="0"/>
    <s v="film &amp; video/drama"/>
    <m/>
    <x v="4"/>
    <s v="drama"/>
  </r>
  <r>
    <n v="254"/>
    <s v="Barry Group"/>
    <s v="De-engineered static Local Area Network"/>
    <n v="4600"/>
    <n v="8505"/>
    <x v="1"/>
    <n v="88"/>
    <x v="1"/>
    <s v="USD"/>
    <n v="1487656800"/>
    <n v="1487829600"/>
    <b v="0"/>
    <b v="0"/>
    <s v="publishing/nonfiction"/>
    <m/>
    <x v="5"/>
    <s v="nonfiction"/>
  </r>
  <r>
    <n v="255"/>
    <s v="Rosales, Branch and Harmon"/>
    <s v="Upgradable grid-enabled superstructure"/>
    <n v="80500"/>
    <n v="96735"/>
    <x v="1"/>
    <n v="1697"/>
    <x v="1"/>
    <s v="USD"/>
    <n v="1297836000"/>
    <n v="1298268000"/>
    <b v="0"/>
    <b v="1"/>
    <s v="music/rock"/>
    <m/>
    <x v="1"/>
    <s v="rock"/>
  </r>
  <r>
    <n v="256"/>
    <s v="Smith-Reid"/>
    <s v="Optimized actuating toolset"/>
    <n v="4100"/>
    <n v="959"/>
    <x v="0"/>
    <n v="15"/>
    <x v="4"/>
    <s v="GBP"/>
    <n v="1453615200"/>
    <n v="1456812000"/>
    <b v="0"/>
    <b v="0"/>
    <s v="music/rock"/>
    <m/>
    <x v="1"/>
    <s v="rock"/>
  </r>
  <r>
    <n v="257"/>
    <s v="Williams Inc"/>
    <s v="Decentralized exuding strategy"/>
    <n v="5700"/>
    <n v="8322"/>
    <x v="1"/>
    <n v="92"/>
    <x v="1"/>
    <s v="USD"/>
    <n v="1362463200"/>
    <n v="1363669200"/>
    <b v="0"/>
    <b v="0"/>
    <s v="theater/plays"/>
    <m/>
    <x v="3"/>
    <s v="plays"/>
  </r>
  <r>
    <n v="258"/>
    <s v="Duncan, Mcdonald and Miller"/>
    <s v="Assimilated coherent hardware"/>
    <n v="5000"/>
    <n v="13424"/>
    <x v="1"/>
    <n v="186"/>
    <x v="1"/>
    <s v="USD"/>
    <n v="1481176800"/>
    <n v="1482904800"/>
    <b v="0"/>
    <b v="1"/>
    <s v="theater/plays"/>
    <m/>
    <x v="3"/>
    <s v="plays"/>
  </r>
  <r>
    <n v="259"/>
    <s v="Watkins Ltd"/>
    <s v="Multi-channeled responsive implementation"/>
    <n v="1800"/>
    <n v="10755"/>
    <x v="1"/>
    <n v="138"/>
    <x v="1"/>
    <s v="USD"/>
    <n v="1354946400"/>
    <n v="1356588000"/>
    <b v="1"/>
    <b v="0"/>
    <s v="photography/photography books"/>
    <m/>
    <x v="7"/>
    <s v="photography books"/>
  </r>
  <r>
    <n v="260"/>
    <s v="Allen-Jones"/>
    <s v="Centralized modular initiative"/>
    <n v="6300"/>
    <n v="9935"/>
    <x v="1"/>
    <n v="261"/>
    <x v="1"/>
    <s v="USD"/>
    <n v="1348808400"/>
    <n v="1349845200"/>
    <b v="0"/>
    <b v="0"/>
    <s v="music/rock"/>
    <m/>
    <x v="1"/>
    <s v="rock"/>
  </r>
  <r>
    <n v="261"/>
    <s v="Mason-Smith"/>
    <s v="Reverse-engineered cohesive migration"/>
    <n v="84300"/>
    <n v="26303"/>
    <x v="0"/>
    <n v="454"/>
    <x v="1"/>
    <s v="USD"/>
    <n v="1282712400"/>
    <n v="1283058000"/>
    <b v="0"/>
    <b v="1"/>
    <s v="music/rock"/>
    <m/>
    <x v="1"/>
    <s v="rock"/>
  </r>
  <r>
    <n v="262"/>
    <s v="Lloyd, Kennedy and Davis"/>
    <s v="Compatible multimedia hub"/>
    <n v="1700"/>
    <n v="5328"/>
    <x v="1"/>
    <n v="107"/>
    <x v="1"/>
    <s v="USD"/>
    <n v="1301979600"/>
    <n v="1304226000"/>
    <b v="0"/>
    <b v="1"/>
    <s v="music/indie rock"/>
    <m/>
    <x v="1"/>
    <s v="indie rock"/>
  </r>
  <r>
    <n v="263"/>
    <s v="Walker Ltd"/>
    <s v="Organic eco-centric success"/>
    <n v="2900"/>
    <n v="10756"/>
    <x v="1"/>
    <n v="199"/>
    <x v="1"/>
    <s v="USD"/>
    <n v="1263016800"/>
    <n v="1263016800"/>
    <b v="0"/>
    <b v="0"/>
    <s v="photography/photography books"/>
    <m/>
    <x v="7"/>
    <s v="photography books"/>
  </r>
  <r>
    <n v="264"/>
    <s v="Gordon PLC"/>
    <s v="Virtual reciprocal policy"/>
    <n v="45600"/>
    <n v="165375"/>
    <x v="1"/>
    <n v="5512"/>
    <x v="1"/>
    <s v="USD"/>
    <n v="1360648800"/>
    <n v="1362031200"/>
    <b v="0"/>
    <b v="0"/>
    <s v="theater/plays"/>
    <m/>
    <x v="3"/>
    <s v="plays"/>
  </r>
  <r>
    <n v="265"/>
    <s v="Lee and Sons"/>
    <s v="Persevering interactive emulation"/>
    <n v="4900"/>
    <n v="6031"/>
    <x v="1"/>
    <n v="86"/>
    <x v="1"/>
    <s v="USD"/>
    <n v="1451800800"/>
    <n v="1455602400"/>
    <b v="0"/>
    <b v="0"/>
    <s v="theater/plays"/>
    <m/>
    <x v="3"/>
    <s v="plays"/>
  </r>
  <r>
    <n v="266"/>
    <s v="Cole LLC"/>
    <s v="Proactive responsive emulation"/>
    <n v="111900"/>
    <n v="85902"/>
    <x v="0"/>
    <n v="3182"/>
    <x v="6"/>
    <s v="EUR"/>
    <n v="1415340000"/>
    <n v="1418191200"/>
    <b v="0"/>
    <b v="1"/>
    <s v="music/jazz"/>
    <m/>
    <x v="1"/>
    <s v="jazz"/>
  </r>
  <r>
    <n v="267"/>
    <s v="Acosta PLC"/>
    <s v="Extended eco-centric function"/>
    <n v="61600"/>
    <n v="143910"/>
    <x v="1"/>
    <n v="2768"/>
    <x v="2"/>
    <s v="AUD"/>
    <n v="1351054800"/>
    <n v="1352440800"/>
    <b v="0"/>
    <b v="0"/>
    <s v="theater/plays"/>
    <m/>
    <x v="3"/>
    <s v="plays"/>
  </r>
  <r>
    <n v="268"/>
    <s v="Brown-Mckee"/>
    <s v="Networked optimal productivity"/>
    <n v="1500"/>
    <n v="2708"/>
    <x v="1"/>
    <n v="48"/>
    <x v="1"/>
    <s v="USD"/>
    <n v="1349326800"/>
    <n v="1353304800"/>
    <b v="0"/>
    <b v="0"/>
    <s v="film &amp; video/documentary"/>
    <m/>
    <x v="4"/>
    <s v="documentary"/>
  </r>
  <r>
    <n v="269"/>
    <s v="Miles and Sons"/>
    <s v="Persistent attitude-oriented approach"/>
    <n v="3500"/>
    <n v="8842"/>
    <x v="1"/>
    <n v="87"/>
    <x v="1"/>
    <s v="USD"/>
    <n v="1548914400"/>
    <n v="1550728800"/>
    <b v="0"/>
    <b v="0"/>
    <s v="film &amp; video/television"/>
    <m/>
    <x v="4"/>
    <s v="television"/>
  </r>
  <r>
    <n v="270"/>
    <s v="Sawyer, Horton and Williams"/>
    <s v="Triple-buffered 4thgeneration toolset"/>
    <n v="173900"/>
    <n v="47260"/>
    <x v="3"/>
    <n v="1890"/>
    <x v="1"/>
    <s v="USD"/>
    <n v="1291269600"/>
    <n v="1291442400"/>
    <b v="0"/>
    <b v="0"/>
    <s v="games/video games"/>
    <m/>
    <x v="6"/>
    <s v="video games"/>
  </r>
  <r>
    <n v="271"/>
    <s v="Foley-Cox"/>
    <s v="Progressive zero administration leverage"/>
    <n v="153700"/>
    <n v="1953"/>
    <x v="2"/>
    <n v="61"/>
    <x v="1"/>
    <s v="USD"/>
    <n v="1449468000"/>
    <n v="1452146400"/>
    <b v="0"/>
    <b v="0"/>
    <s v="photography/photography books"/>
    <m/>
    <x v="7"/>
    <s v="photography books"/>
  </r>
  <r>
    <n v="272"/>
    <s v="Horton, Morrison and Clark"/>
    <s v="Networked radical neural-net"/>
    <n v="51100"/>
    <n v="155349"/>
    <x v="1"/>
    <n v="1894"/>
    <x v="1"/>
    <s v="USD"/>
    <n v="1562734800"/>
    <n v="1564894800"/>
    <b v="0"/>
    <b v="1"/>
    <s v="theater/plays"/>
    <m/>
    <x v="3"/>
    <s v="plays"/>
  </r>
  <r>
    <n v="273"/>
    <s v="Thomas and Sons"/>
    <s v="Re-engineered heuristic forecast"/>
    <n v="7800"/>
    <n v="10704"/>
    <x v="1"/>
    <n v="282"/>
    <x v="0"/>
    <s v="CAD"/>
    <n v="1505624400"/>
    <n v="1505883600"/>
    <b v="0"/>
    <b v="0"/>
    <s v="theater/plays"/>
    <m/>
    <x v="3"/>
    <s v="plays"/>
  </r>
  <r>
    <n v="274"/>
    <s v="Morgan-Jenkins"/>
    <s v="Fully-configurable background algorithm"/>
    <n v="2400"/>
    <n v="773"/>
    <x v="0"/>
    <n v="15"/>
    <x v="1"/>
    <s v="USD"/>
    <n v="1509948000"/>
    <n v="1510380000"/>
    <b v="0"/>
    <b v="0"/>
    <s v="theater/plays"/>
    <m/>
    <x v="3"/>
    <s v="plays"/>
  </r>
  <r>
    <n v="275"/>
    <s v="Ward, Sanchez and Kemp"/>
    <s v="Stand-alone discrete Graphical User Interface"/>
    <n v="3900"/>
    <n v="9419"/>
    <x v="1"/>
    <n v="116"/>
    <x v="1"/>
    <s v="USD"/>
    <n v="1554526800"/>
    <n v="1555218000"/>
    <b v="0"/>
    <b v="0"/>
    <s v="publishing/translations"/>
    <m/>
    <x v="5"/>
    <s v="translations"/>
  </r>
  <r>
    <n v="276"/>
    <s v="Fields Ltd"/>
    <s v="Front-line foreground project"/>
    <n v="5500"/>
    <n v="5324"/>
    <x v="0"/>
    <n v="133"/>
    <x v="1"/>
    <s v="USD"/>
    <n v="1334811600"/>
    <n v="1335243600"/>
    <b v="0"/>
    <b v="1"/>
    <s v="games/video games"/>
    <m/>
    <x v="6"/>
    <s v="video games"/>
  </r>
  <r>
    <n v="277"/>
    <s v="Ramos-Mitchell"/>
    <s v="Persevering system-worthy info-mediaries"/>
    <n v="700"/>
    <n v="7465"/>
    <x v="1"/>
    <n v="83"/>
    <x v="1"/>
    <s v="USD"/>
    <n v="1279515600"/>
    <n v="1279688400"/>
    <b v="0"/>
    <b v="0"/>
    <s v="theater/plays"/>
    <m/>
    <x v="3"/>
    <s v="plays"/>
  </r>
  <r>
    <n v="278"/>
    <s v="Higgins, Davis and Salazar"/>
    <s v="Distributed multi-tasking strategy"/>
    <n v="2700"/>
    <n v="8799"/>
    <x v="1"/>
    <n v="91"/>
    <x v="1"/>
    <s v="USD"/>
    <n v="1353909600"/>
    <n v="1356069600"/>
    <b v="0"/>
    <b v="0"/>
    <s v="technology/web"/>
    <m/>
    <x v="2"/>
    <s v="web"/>
  </r>
  <r>
    <n v="279"/>
    <s v="Smith-Jenkins"/>
    <s v="Vision-oriented methodical application"/>
    <n v="8000"/>
    <n v="13656"/>
    <x v="1"/>
    <n v="546"/>
    <x v="1"/>
    <s v="USD"/>
    <n v="1535950800"/>
    <n v="1536210000"/>
    <b v="0"/>
    <b v="0"/>
    <s v="theater/plays"/>
    <m/>
    <x v="3"/>
    <s v="plays"/>
  </r>
  <r>
    <n v="280"/>
    <s v="Braun PLC"/>
    <s v="Function-based high-level infrastructure"/>
    <n v="2500"/>
    <n v="14536"/>
    <x v="1"/>
    <n v="393"/>
    <x v="1"/>
    <s v="USD"/>
    <n v="1511244000"/>
    <n v="1511762400"/>
    <b v="0"/>
    <b v="0"/>
    <s v="film &amp; video/animation"/>
    <m/>
    <x v="4"/>
    <s v="animation"/>
  </r>
  <r>
    <n v="281"/>
    <s v="Drake PLC"/>
    <s v="Profound object-oriented paradigm"/>
    <n v="164500"/>
    <n v="150552"/>
    <x v="0"/>
    <n v="2062"/>
    <x v="1"/>
    <s v="USD"/>
    <n v="1331445600"/>
    <n v="1333256400"/>
    <b v="0"/>
    <b v="1"/>
    <s v="theater/plays"/>
    <m/>
    <x v="3"/>
    <s v="plays"/>
  </r>
  <r>
    <n v="282"/>
    <s v="Ross, Kelly and Brown"/>
    <s v="Virtual contextually-based circuit"/>
    <n v="8400"/>
    <n v="9076"/>
    <x v="1"/>
    <n v="133"/>
    <x v="1"/>
    <s v="USD"/>
    <n v="1480226400"/>
    <n v="1480744800"/>
    <b v="0"/>
    <b v="1"/>
    <s v="film &amp; video/television"/>
    <m/>
    <x v="4"/>
    <s v="television"/>
  </r>
  <r>
    <n v="283"/>
    <s v="Lucas-Mullins"/>
    <s v="Business-focused dynamic instruction set"/>
    <n v="8100"/>
    <n v="1517"/>
    <x v="0"/>
    <n v="29"/>
    <x v="3"/>
    <s v="DKK"/>
    <n v="1464584400"/>
    <n v="1465016400"/>
    <b v="0"/>
    <b v="0"/>
    <s v="music/rock"/>
    <m/>
    <x v="1"/>
    <s v="rock"/>
  </r>
  <r>
    <n v="284"/>
    <s v="Tran LLC"/>
    <s v="Ameliorated fresh-thinking protocol"/>
    <n v="9800"/>
    <n v="8153"/>
    <x v="0"/>
    <n v="132"/>
    <x v="1"/>
    <s v="USD"/>
    <n v="1335848400"/>
    <n v="1336280400"/>
    <b v="0"/>
    <b v="0"/>
    <s v="technology/web"/>
    <m/>
    <x v="2"/>
    <s v="web"/>
  </r>
  <r>
    <n v="285"/>
    <s v="Dawson, Brady and Gilbert"/>
    <s v="Front-line optimizing emulation"/>
    <n v="900"/>
    <n v="6357"/>
    <x v="1"/>
    <n v="254"/>
    <x v="1"/>
    <s v="USD"/>
    <n v="1473483600"/>
    <n v="1476766800"/>
    <b v="0"/>
    <b v="0"/>
    <s v="theater/plays"/>
    <m/>
    <x v="3"/>
    <s v="plays"/>
  </r>
  <r>
    <n v="286"/>
    <s v="Obrien-Aguirre"/>
    <s v="Devolved uniform complexity"/>
    <n v="112100"/>
    <n v="19557"/>
    <x v="3"/>
    <n v="184"/>
    <x v="1"/>
    <s v="USD"/>
    <n v="1479880800"/>
    <n v="1480485600"/>
    <b v="0"/>
    <b v="0"/>
    <s v="theater/plays"/>
    <m/>
    <x v="3"/>
    <s v="plays"/>
  </r>
  <r>
    <n v="287"/>
    <s v="Ferguson PLC"/>
    <s v="Public-key intangible superstructure"/>
    <n v="6300"/>
    <n v="13213"/>
    <x v="1"/>
    <n v="176"/>
    <x v="1"/>
    <s v="USD"/>
    <n v="1430197200"/>
    <n v="1430197200"/>
    <b v="0"/>
    <b v="0"/>
    <s v="music/electric music"/>
    <m/>
    <x v="1"/>
    <s v="electric music"/>
  </r>
  <r>
    <n v="288"/>
    <s v="Garcia Ltd"/>
    <s v="Secured global success"/>
    <n v="5600"/>
    <n v="5476"/>
    <x v="0"/>
    <n v="137"/>
    <x v="3"/>
    <s v="DKK"/>
    <n v="1331701200"/>
    <n v="1331787600"/>
    <b v="0"/>
    <b v="1"/>
    <s v="music/metal"/>
    <m/>
    <x v="1"/>
    <s v="metal"/>
  </r>
  <r>
    <n v="289"/>
    <s v="Smith, Love and Smith"/>
    <s v="Grass-roots mission-critical capability"/>
    <n v="800"/>
    <n v="13474"/>
    <x v="1"/>
    <n v="337"/>
    <x v="0"/>
    <s v="CAD"/>
    <n v="1438578000"/>
    <n v="1438837200"/>
    <b v="0"/>
    <b v="0"/>
    <s v="theater/plays"/>
    <m/>
    <x v="3"/>
    <s v="plays"/>
  </r>
  <r>
    <n v="290"/>
    <s v="Wilson, Hall and Osborne"/>
    <s v="Advanced global data-warehouse"/>
    <n v="168600"/>
    <n v="91722"/>
    <x v="0"/>
    <n v="908"/>
    <x v="1"/>
    <s v="USD"/>
    <n v="1368162000"/>
    <n v="1370926800"/>
    <b v="0"/>
    <b v="1"/>
    <s v="film &amp; video/documentary"/>
    <m/>
    <x v="4"/>
    <s v="documentary"/>
  </r>
  <r>
    <n v="291"/>
    <s v="Bell, Grimes and Kerr"/>
    <s v="Self-enabling uniform complexity"/>
    <n v="1800"/>
    <n v="8219"/>
    <x v="1"/>
    <n v="107"/>
    <x v="1"/>
    <s v="USD"/>
    <n v="1318654800"/>
    <n v="1319000400"/>
    <b v="1"/>
    <b v="0"/>
    <s v="technology/web"/>
    <m/>
    <x v="2"/>
    <s v="web"/>
  </r>
  <r>
    <n v="292"/>
    <s v="Ho-Harris"/>
    <s v="Versatile cohesive encoding"/>
    <n v="7300"/>
    <n v="717"/>
    <x v="0"/>
    <n v="10"/>
    <x v="1"/>
    <s v="USD"/>
    <n v="1331874000"/>
    <n v="1333429200"/>
    <b v="0"/>
    <b v="0"/>
    <s v="food/food trucks"/>
    <m/>
    <x v="0"/>
    <s v="food trucks"/>
  </r>
  <r>
    <n v="293"/>
    <s v="Ross Group"/>
    <s v="Organized executive solution"/>
    <n v="6500"/>
    <n v="1065"/>
    <x v="3"/>
    <n v="32"/>
    <x v="6"/>
    <s v="EUR"/>
    <n v="1286254800"/>
    <n v="1287032400"/>
    <b v="0"/>
    <b v="0"/>
    <s v="theater/plays"/>
    <m/>
    <x v="3"/>
    <s v="plays"/>
  </r>
  <r>
    <n v="294"/>
    <s v="Turner-Davis"/>
    <s v="Automated local emulation"/>
    <n v="600"/>
    <n v="8038"/>
    <x v="1"/>
    <n v="183"/>
    <x v="1"/>
    <s v="USD"/>
    <n v="1540530000"/>
    <n v="1541570400"/>
    <b v="0"/>
    <b v="0"/>
    <s v="theater/plays"/>
    <m/>
    <x v="3"/>
    <s v="plays"/>
  </r>
  <r>
    <n v="295"/>
    <s v="Smith, Jackson and Herrera"/>
    <s v="Enterprise-wide intermediate middleware"/>
    <n v="192900"/>
    <n v="68769"/>
    <x v="0"/>
    <n v="1910"/>
    <x v="5"/>
    <s v="CHF"/>
    <n v="1381813200"/>
    <n v="1383976800"/>
    <b v="0"/>
    <b v="0"/>
    <s v="theater/plays"/>
    <m/>
    <x v="3"/>
    <s v="plays"/>
  </r>
  <r>
    <n v="296"/>
    <s v="Smith-Hess"/>
    <s v="Grass-roots real-time Local Area Network"/>
    <n v="6100"/>
    <n v="3352"/>
    <x v="0"/>
    <n v="38"/>
    <x v="2"/>
    <s v="AUD"/>
    <n v="1548655200"/>
    <n v="1550556000"/>
    <b v="0"/>
    <b v="0"/>
    <s v="theater/plays"/>
    <m/>
    <x v="3"/>
    <s v="plays"/>
  </r>
  <r>
    <n v="297"/>
    <s v="Brown, Herring and Bass"/>
    <s v="Organized client-driven capacity"/>
    <n v="7200"/>
    <n v="6785"/>
    <x v="0"/>
    <n v="104"/>
    <x v="2"/>
    <s v="AUD"/>
    <n v="1389679200"/>
    <n v="1390456800"/>
    <b v="0"/>
    <b v="1"/>
    <s v="theater/plays"/>
    <m/>
    <x v="3"/>
    <s v="plays"/>
  </r>
  <r>
    <n v="298"/>
    <s v="Chase, Garcia and Johnson"/>
    <s v="Adaptive intangible database"/>
    <n v="3500"/>
    <n v="5037"/>
    <x v="1"/>
    <n v="72"/>
    <x v="1"/>
    <s v="USD"/>
    <n v="1456466400"/>
    <n v="1458018000"/>
    <b v="0"/>
    <b v="1"/>
    <s v="music/rock"/>
    <m/>
    <x v="1"/>
    <s v="rock"/>
  </r>
  <r>
    <n v="299"/>
    <s v="Ramsey and Sons"/>
    <s v="Grass-roots contextually-based algorithm"/>
    <n v="3800"/>
    <n v="1954"/>
    <x v="0"/>
    <n v="49"/>
    <x v="1"/>
    <s v="USD"/>
    <n v="1456984800"/>
    <n v="1461819600"/>
    <b v="0"/>
    <b v="0"/>
    <s v="food/food trucks"/>
    <m/>
    <x v="0"/>
    <s v="food trucks"/>
  </r>
  <r>
    <n v="300"/>
    <s v="Cooke PLC"/>
    <s v="Focused executive core"/>
    <n v="100"/>
    <n v="5"/>
    <x v="0"/>
    <n v="1"/>
    <x v="3"/>
    <s v="DKK"/>
    <n v="1504069200"/>
    <n v="1504155600"/>
    <b v="0"/>
    <b v="1"/>
    <s v="publishing/nonfiction"/>
    <m/>
    <x v="5"/>
    <s v="nonfiction"/>
  </r>
  <r>
    <n v="301"/>
    <s v="Wong-Walker"/>
    <s v="Multi-channeled disintermediate policy"/>
    <n v="900"/>
    <n v="12102"/>
    <x v="1"/>
    <n v="295"/>
    <x v="1"/>
    <s v="USD"/>
    <n v="1424930400"/>
    <n v="1426395600"/>
    <b v="0"/>
    <b v="0"/>
    <s v="film &amp; video/documentary"/>
    <m/>
    <x v="4"/>
    <s v="documentary"/>
  </r>
  <r>
    <n v="302"/>
    <s v="Ferguson, Collins and Mata"/>
    <s v="Customizable bi-directional hardware"/>
    <n v="76100"/>
    <n v="24234"/>
    <x v="0"/>
    <n v="245"/>
    <x v="1"/>
    <s v="USD"/>
    <n v="1535864400"/>
    <n v="1537074000"/>
    <b v="0"/>
    <b v="0"/>
    <s v="theater/plays"/>
    <m/>
    <x v="3"/>
    <s v="plays"/>
  </r>
  <r>
    <n v="303"/>
    <s v="Guerrero, Flores and Jenkins"/>
    <s v="Networked optimal architecture"/>
    <n v="3400"/>
    <n v="2809"/>
    <x v="0"/>
    <n v="32"/>
    <x v="1"/>
    <s v="USD"/>
    <n v="1452146400"/>
    <n v="1452578400"/>
    <b v="0"/>
    <b v="0"/>
    <s v="music/indie rock"/>
    <m/>
    <x v="1"/>
    <s v="indie rock"/>
  </r>
  <r>
    <n v="304"/>
    <s v="Peterson PLC"/>
    <s v="User-friendly discrete benchmark"/>
    <n v="2100"/>
    <n v="11469"/>
    <x v="1"/>
    <n v="142"/>
    <x v="1"/>
    <s v="USD"/>
    <n v="1470546000"/>
    <n v="1474088400"/>
    <b v="0"/>
    <b v="0"/>
    <s v="film &amp; video/documentary"/>
    <m/>
    <x v="4"/>
    <s v="documentary"/>
  </r>
  <r>
    <n v="305"/>
    <s v="Townsend Ltd"/>
    <s v="Grass-roots actuating policy"/>
    <n v="2800"/>
    <n v="8014"/>
    <x v="1"/>
    <n v="85"/>
    <x v="1"/>
    <s v="USD"/>
    <n v="1458363600"/>
    <n v="1461906000"/>
    <b v="0"/>
    <b v="0"/>
    <s v="theater/plays"/>
    <m/>
    <x v="3"/>
    <s v="plays"/>
  </r>
  <r>
    <n v="306"/>
    <s v="Rush, Reed and Hall"/>
    <s v="Enterprise-wide 3rdgeneration knowledge user"/>
    <n v="6500"/>
    <n v="514"/>
    <x v="0"/>
    <n v="7"/>
    <x v="1"/>
    <s v="USD"/>
    <n v="1500008400"/>
    <n v="1500267600"/>
    <b v="0"/>
    <b v="1"/>
    <s v="theater/plays"/>
    <m/>
    <x v="3"/>
    <s v="plays"/>
  </r>
  <r>
    <n v="307"/>
    <s v="Salazar-Dodson"/>
    <s v="Face-to-face zero tolerance moderator"/>
    <n v="32900"/>
    <n v="43473"/>
    <x v="1"/>
    <n v="659"/>
    <x v="3"/>
    <s v="DKK"/>
    <n v="1338958800"/>
    <n v="1340686800"/>
    <b v="0"/>
    <b v="1"/>
    <s v="publishing/fiction"/>
    <m/>
    <x v="5"/>
    <s v="fiction"/>
  </r>
  <r>
    <n v="308"/>
    <s v="Davis Ltd"/>
    <s v="Grass-roots optimizing projection"/>
    <n v="118200"/>
    <n v="87560"/>
    <x v="0"/>
    <n v="803"/>
    <x v="1"/>
    <s v="USD"/>
    <n v="1303102800"/>
    <n v="1303189200"/>
    <b v="0"/>
    <b v="0"/>
    <s v="theater/plays"/>
    <m/>
    <x v="3"/>
    <s v="plays"/>
  </r>
  <r>
    <n v="309"/>
    <s v="Harris-Perry"/>
    <s v="User-centric 6thgeneration attitude"/>
    <n v="4100"/>
    <n v="3087"/>
    <x v="3"/>
    <n v="75"/>
    <x v="1"/>
    <s v="USD"/>
    <n v="1316581200"/>
    <n v="1318309200"/>
    <b v="0"/>
    <b v="1"/>
    <s v="music/indie rock"/>
    <m/>
    <x v="1"/>
    <s v="indie rock"/>
  </r>
  <r>
    <n v="310"/>
    <s v="Velazquez, Hunt and Ortiz"/>
    <s v="Switchable zero tolerance website"/>
    <n v="7800"/>
    <n v="1586"/>
    <x v="0"/>
    <n v="16"/>
    <x v="1"/>
    <s v="USD"/>
    <n v="1270789200"/>
    <n v="1272171600"/>
    <b v="0"/>
    <b v="0"/>
    <s v="games/video games"/>
    <m/>
    <x v="6"/>
    <s v="video games"/>
  </r>
  <r>
    <n v="311"/>
    <s v="Flores PLC"/>
    <s v="Focused real-time help-desk"/>
    <n v="6300"/>
    <n v="12812"/>
    <x v="1"/>
    <n v="121"/>
    <x v="1"/>
    <s v="USD"/>
    <n v="1297836000"/>
    <n v="1298872800"/>
    <b v="0"/>
    <b v="0"/>
    <s v="theater/plays"/>
    <m/>
    <x v="3"/>
    <s v="plays"/>
  </r>
  <r>
    <n v="312"/>
    <s v="Martinez LLC"/>
    <s v="Robust impactful approach"/>
    <n v="59100"/>
    <n v="183345"/>
    <x v="1"/>
    <n v="3742"/>
    <x v="1"/>
    <s v="USD"/>
    <n v="1382677200"/>
    <n v="1383282000"/>
    <b v="0"/>
    <b v="0"/>
    <s v="theater/plays"/>
    <m/>
    <x v="3"/>
    <s v="plays"/>
  </r>
  <r>
    <n v="313"/>
    <s v="Miller-Irwin"/>
    <s v="Secured maximized policy"/>
    <n v="2200"/>
    <n v="8697"/>
    <x v="1"/>
    <n v="223"/>
    <x v="1"/>
    <s v="USD"/>
    <n v="1330322400"/>
    <n v="1330495200"/>
    <b v="0"/>
    <b v="0"/>
    <s v="music/rock"/>
    <m/>
    <x v="1"/>
    <s v="rock"/>
  </r>
  <r>
    <n v="314"/>
    <s v="Sanchez-Morgan"/>
    <s v="Realigned upward-trending strategy"/>
    <n v="1400"/>
    <n v="4126"/>
    <x v="1"/>
    <n v="133"/>
    <x v="1"/>
    <s v="USD"/>
    <n v="1552366800"/>
    <n v="1552798800"/>
    <b v="0"/>
    <b v="1"/>
    <s v="film &amp; video/documentary"/>
    <m/>
    <x v="4"/>
    <s v="documentary"/>
  </r>
  <r>
    <n v="315"/>
    <s v="Lopez, Adams and Johnson"/>
    <s v="Open-source interactive knowledge user"/>
    <n v="9500"/>
    <n v="3220"/>
    <x v="0"/>
    <n v="31"/>
    <x v="1"/>
    <s v="USD"/>
    <n v="1400907600"/>
    <n v="1403413200"/>
    <b v="0"/>
    <b v="0"/>
    <s v="theater/plays"/>
    <m/>
    <x v="3"/>
    <s v="plays"/>
  </r>
  <r>
    <n v="316"/>
    <s v="Martin-Marshall"/>
    <s v="Configurable demand-driven matrix"/>
    <n v="9600"/>
    <n v="6401"/>
    <x v="0"/>
    <n v="108"/>
    <x v="6"/>
    <s v="EUR"/>
    <n v="1574143200"/>
    <n v="1574229600"/>
    <b v="0"/>
    <b v="1"/>
    <s v="food/food trucks"/>
    <m/>
    <x v="0"/>
    <s v="food trucks"/>
  </r>
  <r>
    <n v="317"/>
    <s v="Summers PLC"/>
    <s v="Cross-group coherent hierarchy"/>
    <n v="6600"/>
    <n v="1269"/>
    <x v="0"/>
    <n v="30"/>
    <x v="1"/>
    <s v="USD"/>
    <n v="1494738000"/>
    <n v="1495861200"/>
    <b v="0"/>
    <b v="0"/>
    <s v="theater/plays"/>
    <m/>
    <x v="3"/>
    <s v="plays"/>
  </r>
  <r>
    <n v="318"/>
    <s v="Young, Hart and Ryan"/>
    <s v="Decentralized demand-driven open system"/>
    <n v="5700"/>
    <n v="903"/>
    <x v="0"/>
    <n v="17"/>
    <x v="1"/>
    <s v="USD"/>
    <n v="1392357600"/>
    <n v="1392530400"/>
    <b v="0"/>
    <b v="0"/>
    <s v="music/rock"/>
    <m/>
    <x v="1"/>
    <s v="rock"/>
  </r>
  <r>
    <n v="319"/>
    <s v="Mills Group"/>
    <s v="Advanced empowering matrix"/>
    <n v="8400"/>
    <n v="3251"/>
    <x v="3"/>
    <n v="64"/>
    <x v="1"/>
    <s v="USD"/>
    <n v="1281589200"/>
    <n v="1283662800"/>
    <b v="0"/>
    <b v="0"/>
    <s v="technology/web"/>
    <m/>
    <x v="2"/>
    <s v="web"/>
  </r>
  <r>
    <n v="320"/>
    <s v="Sandoval-Powell"/>
    <s v="Phased holistic implementation"/>
    <n v="84400"/>
    <n v="8092"/>
    <x v="0"/>
    <n v="80"/>
    <x v="1"/>
    <s v="USD"/>
    <n v="1305003600"/>
    <n v="1305781200"/>
    <b v="0"/>
    <b v="0"/>
    <s v="publishing/fiction"/>
    <m/>
    <x v="5"/>
    <s v="fiction"/>
  </r>
  <r>
    <n v="321"/>
    <s v="Mills, Frazier and Perez"/>
    <s v="Proactive attitude-oriented knowledge user"/>
    <n v="170400"/>
    <n v="160422"/>
    <x v="0"/>
    <n v="2468"/>
    <x v="1"/>
    <s v="USD"/>
    <n v="1301634000"/>
    <n v="1302325200"/>
    <b v="0"/>
    <b v="0"/>
    <s v="film &amp; video/shorts"/>
    <m/>
    <x v="4"/>
    <s v="shorts"/>
  </r>
  <r>
    <n v="322"/>
    <s v="Hebert Group"/>
    <s v="Visionary asymmetric Graphical User Interface"/>
    <n v="117900"/>
    <n v="196377"/>
    <x v="1"/>
    <n v="5168"/>
    <x v="1"/>
    <s v="USD"/>
    <n v="1290664800"/>
    <n v="1291788000"/>
    <b v="0"/>
    <b v="0"/>
    <s v="theater/plays"/>
    <m/>
    <x v="3"/>
    <s v="plays"/>
  </r>
  <r>
    <n v="323"/>
    <s v="Cole, Smith and Wood"/>
    <s v="Integrated zero-defect help-desk"/>
    <n v="8900"/>
    <n v="2148"/>
    <x v="0"/>
    <n v="26"/>
    <x v="4"/>
    <s v="GBP"/>
    <n v="1395896400"/>
    <n v="1396069200"/>
    <b v="0"/>
    <b v="0"/>
    <s v="film &amp; video/documentary"/>
    <m/>
    <x v="4"/>
    <s v="documentary"/>
  </r>
  <r>
    <n v="324"/>
    <s v="Harris, Hall and Harris"/>
    <s v="Inverse analyzing matrices"/>
    <n v="7100"/>
    <n v="11648"/>
    <x v="1"/>
    <n v="307"/>
    <x v="1"/>
    <s v="USD"/>
    <n v="1434862800"/>
    <n v="1435899600"/>
    <b v="0"/>
    <b v="1"/>
    <s v="theater/plays"/>
    <m/>
    <x v="3"/>
    <s v="plays"/>
  </r>
  <r>
    <n v="325"/>
    <s v="Saunders Group"/>
    <s v="Programmable systemic implementation"/>
    <n v="6500"/>
    <n v="5897"/>
    <x v="0"/>
    <n v="73"/>
    <x v="1"/>
    <s v="USD"/>
    <n v="1529125200"/>
    <n v="1531112400"/>
    <b v="0"/>
    <b v="1"/>
    <s v="theater/plays"/>
    <m/>
    <x v="3"/>
    <s v="plays"/>
  </r>
  <r>
    <n v="326"/>
    <s v="Pham, Avila and Nash"/>
    <s v="Multi-channeled next generation architecture"/>
    <n v="7200"/>
    <n v="3326"/>
    <x v="0"/>
    <n v="128"/>
    <x v="1"/>
    <s v="USD"/>
    <n v="1451109600"/>
    <n v="1451628000"/>
    <b v="0"/>
    <b v="0"/>
    <s v="film &amp; video/animation"/>
    <m/>
    <x v="4"/>
    <s v="animation"/>
  </r>
  <r>
    <n v="327"/>
    <s v="Patterson, Salinas and Lucas"/>
    <s v="Digitized 3rdgeneration encoding"/>
    <n v="2600"/>
    <n v="1002"/>
    <x v="0"/>
    <n v="33"/>
    <x v="1"/>
    <s v="USD"/>
    <n v="1566968400"/>
    <n v="1567314000"/>
    <b v="0"/>
    <b v="1"/>
    <s v="theater/plays"/>
    <m/>
    <x v="3"/>
    <s v="plays"/>
  </r>
  <r>
    <n v="328"/>
    <s v="Young PLC"/>
    <s v="Innovative well-modulated functionalities"/>
    <n v="98700"/>
    <n v="131826"/>
    <x v="1"/>
    <n v="2441"/>
    <x v="1"/>
    <s v="USD"/>
    <n v="1543557600"/>
    <n v="1544508000"/>
    <b v="0"/>
    <b v="0"/>
    <s v="music/rock"/>
    <m/>
    <x v="1"/>
    <s v="rock"/>
  </r>
  <r>
    <n v="329"/>
    <s v="Willis and Sons"/>
    <s v="Fundamental incremental database"/>
    <n v="93800"/>
    <n v="21477"/>
    <x v="2"/>
    <n v="211"/>
    <x v="1"/>
    <s v="USD"/>
    <n v="1481522400"/>
    <n v="1482472800"/>
    <b v="0"/>
    <b v="0"/>
    <s v="games/video games"/>
    <m/>
    <x v="6"/>
    <s v="video games"/>
  </r>
  <r>
    <n v="330"/>
    <s v="Thompson-Bates"/>
    <s v="Expanded encompassing open architecture"/>
    <n v="33700"/>
    <n v="62330"/>
    <x v="1"/>
    <n v="1385"/>
    <x v="4"/>
    <s v="GBP"/>
    <n v="1512712800"/>
    <n v="1512799200"/>
    <b v="0"/>
    <b v="0"/>
    <s v="film &amp; video/documentary"/>
    <m/>
    <x v="4"/>
    <s v="documentary"/>
  </r>
  <r>
    <n v="331"/>
    <s v="Rose-Silva"/>
    <s v="Intuitive static portal"/>
    <n v="3300"/>
    <n v="14643"/>
    <x v="1"/>
    <n v="190"/>
    <x v="1"/>
    <s v="USD"/>
    <n v="1324274400"/>
    <n v="1324360800"/>
    <b v="0"/>
    <b v="0"/>
    <s v="food/food trucks"/>
    <m/>
    <x v="0"/>
    <s v="food trucks"/>
  </r>
  <r>
    <n v="332"/>
    <s v="Pacheco, Johnson and Torres"/>
    <s v="Optional bandwidth-monitored definition"/>
    <n v="20700"/>
    <n v="41396"/>
    <x v="1"/>
    <n v="470"/>
    <x v="1"/>
    <s v="USD"/>
    <n v="1364446800"/>
    <n v="1364533200"/>
    <b v="0"/>
    <b v="0"/>
    <s v="technology/wearables"/>
    <m/>
    <x v="2"/>
    <s v="wearables"/>
  </r>
  <r>
    <n v="333"/>
    <s v="Carlson, Dixon and Jones"/>
    <s v="Persistent well-modulated synergy"/>
    <n v="9600"/>
    <n v="11900"/>
    <x v="1"/>
    <n v="253"/>
    <x v="1"/>
    <s v="USD"/>
    <n v="1542693600"/>
    <n v="1545112800"/>
    <b v="0"/>
    <b v="0"/>
    <s v="theater/plays"/>
    <m/>
    <x v="3"/>
    <s v="plays"/>
  </r>
  <r>
    <n v="334"/>
    <s v="Mcgee Group"/>
    <s v="Assimilated discrete algorithm"/>
    <n v="66200"/>
    <n v="123538"/>
    <x v="1"/>
    <n v="1113"/>
    <x v="1"/>
    <s v="USD"/>
    <n v="1515564000"/>
    <n v="1516168800"/>
    <b v="0"/>
    <b v="0"/>
    <s v="music/rock"/>
    <m/>
    <x v="1"/>
    <s v="rock"/>
  </r>
  <r>
    <n v="335"/>
    <s v="Jordan-Acosta"/>
    <s v="Operative uniform hub"/>
    <n v="173800"/>
    <n v="198628"/>
    <x v="1"/>
    <n v="2283"/>
    <x v="1"/>
    <s v="USD"/>
    <n v="1573797600"/>
    <n v="1574920800"/>
    <b v="0"/>
    <b v="0"/>
    <s v="music/rock"/>
    <m/>
    <x v="1"/>
    <s v="rock"/>
  </r>
  <r>
    <n v="336"/>
    <s v="Nunez Inc"/>
    <s v="Customizable intangible capability"/>
    <n v="70700"/>
    <n v="68602"/>
    <x v="0"/>
    <n v="1072"/>
    <x v="1"/>
    <s v="USD"/>
    <n v="1292392800"/>
    <n v="1292479200"/>
    <b v="0"/>
    <b v="1"/>
    <s v="music/rock"/>
    <m/>
    <x v="1"/>
    <s v="rock"/>
  </r>
  <r>
    <n v="337"/>
    <s v="Hayden Ltd"/>
    <s v="Innovative didactic analyzer"/>
    <n v="94500"/>
    <n v="116064"/>
    <x v="1"/>
    <n v="1095"/>
    <x v="1"/>
    <s v="USD"/>
    <n v="1573452000"/>
    <n v="1573538400"/>
    <b v="0"/>
    <b v="0"/>
    <s v="theater/plays"/>
    <m/>
    <x v="3"/>
    <s v="plays"/>
  </r>
  <r>
    <n v="338"/>
    <s v="Gonzalez-Burton"/>
    <s v="Decentralized intangible encoding"/>
    <n v="69800"/>
    <n v="125042"/>
    <x v="1"/>
    <n v="1690"/>
    <x v="1"/>
    <s v="USD"/>
    <n v="1317790800"/>
    <n v="1320382800"/>
    <b v="0"/>
    <b v="0"/>
    <s v="theater/plays"/>
    <m/>
    <x v="3"/>
    <s v="plays"/>
  </r>
  <r>
    <n v="339"/>
    <s v="Lewis, Taylor and Rivers"/>
    <s v="Front-line transitional algorithm"/>
    <n v="136300"/>
    <n v="108974"/>
    <x v="3"/>
    <n v="1297"/>
    <x v="0"/>
    <s v="CAD"/>
    <n v="1501650000"/>
    <n v="1502859600"/>
    <b v="0"/>
    <b v="0"/>
    <s v="theater/plays"/>
    <m/>
    <x v="3"/>
    <s v="plays"/>
  </r>
  <r>
    <n v="340"/>
    <s v="Butler, Henry and Espinoza"/>
    <s v="Switchable didactic matrices"/>
    <n v="37100"/>
    <n v="34964"/>
    <x v="0"/>
    <n v="393"/>
    <x v="1"/>
    <s v="USD"/>
    <n v="1323669600"/>
    <n v="1323756000"/>
    <b v="0"/>
    <b v="0"/>
    <s v="photography/photography books"/>
    <m/>
    <x v="7"/>
    <s v="photography books"/>
  </r>
  <r>
    <n v="341"/>
    <s v="Guzman Group"/>
    <s v="Ameliorated disintermediate utilization"/>
    <n v="114300"/>
    <n v="96777"/>
    <x v="0"/>
    <n v="1257"/>
    <x v="1"/>
    <s v="USD"/>
    <n v="1440738000"/>
    <n v="1441342800"/>
    <b v="0"/>
    <b v="0"/>
    <s v="music/indie rock"/>
    <m/>
    <x v="1"/>
    <s v="indie rock"/>
  </r>
  <r>
    <n v="342"/>
    <s v="Gibson-Hernandez"/>
    <s v="Visionary foreground middleware"/>
    <n v="47900"/>
    <n v="31864"/>
    <x v="0"/>
    <n v="328"/>
    <x v="1"/>
    <s v="USD"/>
    <n v="1374296400"/>
    <n v="1375333200"/>
    <b v="0"/>
    <b v="0"/>
    <s v="theater/plays"/>
    <m/>
    <x v="3"/>
    <s v="plays"/>
  </r>
  <r>
    <n v="343"/>
    <s v="Spencer-Weber"/>
    <s v="Optional zero-defect task-force"/>
    <n v="9000"/>
    <n v="4853"/>
    <x v="0"/>
    <n v="147"/>
    <x v="1"/>
    <s v="USD"/>
    <n v="1384840800"/>
    <n v="1389420000"/>
    <b v="0"/>
    <b v="0"/>
    <s v="theater/plays"/>
    <m/>
    <x v="3"/>
    <s v="plays"/>
  </r>
  <r>
    <n v="344"/>
    <s v="Berger, Johnson and Marshall"/>
    <s v="Devolved exuding emulation"/>
    <n v="197600"/>
    <n v="82959"/>
    <x v="0"/>
    <n v="830"/>
    <x v="1"/>
    <s v="USD"/>
    <n v="1516600800"/>
    <n v="1520056800"/>
    <b v="0"/>
    <b v="0"/>
    <s v="games/video games"/>
    <m/>
    <x v="6"/>
    <s v="video games"/>
  </r>
  <r>
    <n v="345"/>
    <s v="Taylor, Cisneros and Romero"/>
    <s v="Open-source neutral task-force"/>
    <n v="157600"/>
    <n v="23159"/>
    <x v="0"/>
    <n v="331"/>
    <x v="4"/>
    <s v="GBP"/>
    <n v="1436418000"/>
    <n v="1436504400"/>
    <b v="0"/>
    <b v="0"/>
    <s v="film &amp; video/drama"/>
    <m/>
    <x v="4"/>
    <s v="drama"/>
  </r>
  <r>
    <n v="346"/>
    <s v="Little-Marsh"/>
    <s v="Virtual attitude-oriented migration"/>
    <n v="8000"/>
    <n v="2758"/>
    <x v="0"/>
    <n v="25"/>
    <x v="1"/>
    <s v="USD"/>
    <n v="1503550800"/>
    <n v="1508302800"/>
    <b v="0"/>
    <b v="1"/>
    <s v="music/indie rock"/>
    <m/>
    <x v="1"/>
    <s v="indie rock"/>
  </r>
  <r>
    <n v="347"/>
    <s v="Petersen and Sons"/>
    <s v="Open-source full-range portal"/>
    <n v="900"/>
    <n v="12607"/>
    <x v="1"/>
    <n v="191"/>
    <x v="1"/>
    <s v="USD"/>
    <n v="1423634400"/>
    <n v="1425708000"/>
    <b v="0"/>
    <b v="0"/>
    <s v="technology/web"/>
    <m/>
    <x v="2"/>
    <s v="web"/>
  </r>
  <r>
    <n v="348"/>
    <s v="Hensley Ltd"/>
    <s v="Versatile cohesive open system"/>
    <n v="199000"/>
    <n v="142823"/>
    <x v="0"/>
    <n v="3483"/>
    <x v="1"/>
    <s v="USD"/>
    <n v="1487224800"/>
    <n v="1488348000"/>
    <b v="0"/>
    <b v="0"/>
    <s v="food/food trucks"/>
    <m/>
    <x v="0"/>
    <s v="food trucks"/>
  </r>
  <r>
    <n v="349"/>
    <s v="Navarro and Sons"/>
    <s v="Multi-layered bottom-line frame"/>
    <n v="180800"/>
    <n v="95958"/>
    <x v="0"/>
    <n v="923"/>
    <x v="1"/>
    <s v="USD"/>
    <n v="1500008400"/>
    <n v="1502600400"/>
    <b v="0"/>
    <b v="0"/>
    <s v="theater/plays"/>
    <m/>
    <x v="3"/>
    <s v="plays"/>
  </r>
  <r>
    <n v="350"/>
    <s v="Shannon Ltd"/>
    <s v="Pre-emptive neutral capacity"/>
    <n v="100"/>
    <n v="5"/>
    <x v="0"/>
    <n v="1"/>
    <x v="1"/>
    <s v="USD"/>
    <n v="1432098000"/>
    <n v="1433653200"/>
    <b v="0"/>
    <b v="1"/>
    <s v="music/jazz"/>
    <m/>
    <x v="1"/>
    <s v="jazz"/>
  </r>
  <r>
    <n v="351"/>
    <s v="Young LLC"/>
    <s v="Universal maximized methodology"/>
    <n v="74100"/>
    <n v="94631"/>
    <x v="1"/>
    <n v="2013"/>
    <x v="1"/>
    <s v="USD"/>
    <n v="1440392400"/>
    <n v="1441602000"/>
    <b v="0"/>
    <b v="0"/>
    <s v="music/rock"/>
    <m/>
    <x v="1"/>
    <s v="rock"/>
  </r>
  <r>
    <n v="352"/>
    <s v="Adams, Willis and Sanchez"/>
    <s v="Expanded hybrid hardware"/>
    <n v="2800"/>
    <n v="977"/>
    <x v="0"/>
    <n v="33"/>
    <x v="0"/>
    <s v="CAD"/>
    <n v="1446876000"/>
    <n v="1447567200"/>
    <b v="0"/>
    <b v="0"/>
    <s v="theater/plays"/>
    <m/>
    <x v="3"/>
    <s v="plays"/>
  </r>
  <r>
    <n v="353"/>
    <s v="Mills-Roy"/>
    <s v="Profit-focused multi-tasking access"/>
    <n v="33600"/>
    <n v="137961"/>
    <x v="1"/>
    <n v="1703"/>
    <x v="1"/>
    <s v="USD"/>
    <n v="1562302800"/>
    <n v="1562389200"/>
    <b v="0"/>
    <b v="0"/>
    <s v="theater/plays"/>
    <m/>
    <x v="3"/>
    <s v="plays"/>
  </r>
  <r>
    <n v="354"/>
    <s v="Brown Group"/>
    <s v="Profit-focused transitional capability"/>
    <n v="6100"/>
    <n v="7548"/>
    <x v="1"/>
    <n v="80"/>
    <x v="3"/>
    <s v="DKK"/>
    <n v="1378184400"/>
    <n v="1378789200"/>
    <b v="0"/>
    <b v="0"/>
    <s v="film &amp; video/documentary"/>
    <m/>
    <x v="4"/>
    <s v="documentary"/>
  </r>
  <r>
    <n v="355"/>
    <s v="Burns-Burnett"/>
    <s v="Front-line scalable definition"/>
    <n v="3800"/>
    <n v="2241"/>
    <x v="2"/>
    <n v="86"/>
    <x v="1"/>
    <s v="USD"/>
    <n v="1485064800"/>
    <n v="1488520800"/>
    <b v="0"/>
    <b v="0"/>
    <s v="technology/wearables"/>
    <m/>
    <x v="2"/>
    <s v="wearables"/>
  </r>
  <r>
    <n v="356"/>
    <s v="Glass, Nunez and Mcdonald"/>
    <s v="Open-source systematic protocol"/>
    <n v="9300"/>
    <n v="3431"/>
    <x v="0"/>
    <n v="40"/>
    <x v="6"/>
    <s v="EUR"/>
    <n v="1326520800"/>
    <n v="1327298400"/>
    <b v="0"/>
    <b v="0"/>
    <s v="theater/plays"/>
    <m/>
    <x v="3"/>
    <s v="plays"/>
  </r>
  <r>
    <n v="357"/>
    <s v="Perez, Davis and Wilson"/>
    <s v="Implemented tangible algorithm"/>
    <n v="2300"/>
    <n v="4253"/>
    <x v="1"/>
    <n v="41"/>
    <x v="1"/>
    <s v="USD"/>
    <n v="1441256400"/>
    <n v="1443416400"/>
    <b v="0"/>
    <b v="0"/>
    <s v="games/video games"/>
    <m/>
    <x v="6"/>
    <s v="video games"/>
  </r>
  <r>
    <n v="358"/>
    <s v="Diaz-Garcia"/>
    <s v="Profit-focused 3rdgeneration circuit"/>
    <n v="9700"/>
    <n v="1146"/>
    <x v="0"/>
    <n v="23"/>
    <x v="0"/>
    <s v="CAD"/>
    <n v="1533877200"/>
    <n v="1534136400"/>
    <b v="1"/>
    <b v="0"/>
    <s v="photography/photography books"/>
    <m/>
    <x v="7"/>
    <s v="photography books"/>
  </r>
  <r>
    <n v="359"/>
    <s v="Salazar-Moon"/>
    <s v="Compatible needs-based architecture"/>
    <n v="4000"/>
    <n v="11948"/>
    <x v="1"/>
    <n v="187"/>
    <x v="1"/>
    <s v="USD"/>
    <n v="1314421200"/>
    <n v="1315026000"/>
    <b v="0"/>
    <b v="0"/>
    <s v="film &amp; video/animation"/>
    <m/>
    <x v="4"/>
    <s v="animation"/>
  </r>
  <r>
    <n v="360"/>
    <s v="Larsen-Chung"/>
    <s v="Right-sized zero tolerance migration"/>
    <n v="59700"/>
    <n v="135132"/>
    <x v="1"/>
    <n v="2875"/>
    <x v="4"/>
    <s v="GBP"/>
    <n v="1293861600"/>
    <n v="1295071200"/>
    <b v="0"/>
    <b v="1"/>
    <s v="theater/plays"/>
    <m/>
    <x v="3"/>
    <s v="plays"/>
  </r>
  <r>
    <n v="361"/>
    <s v="Anderson and Sons"/>
    <s v="Quality-focused reciprocal structure"/>
    <n v="5500"/>
    <n v="9546"/>
    <x v="1"/>
    <n v="88"/>
    <x v="1"/>
    <s v="USD"/>
    <n v="1507352400"/>
    <n v="1509426000"/>
    <b v="0"/>
    <b v="0"/>
    <s v="theater/plays"/>
    <m/>
    <x v="3"/>
    <s v="plays"/>
  </r>
  <r>
    <n v="362"/>
    <s v="Lawrence Group"/>
    <s v="Automated actuating conglomeration"/>
    <n v="3700"/>
    <n v="13755"/>
    <x v="1"/>
    <n v="191"/>
    <x v="1"/>
    <s v="USD"/>
    <n v="1296108000"/>
    <n v="1299391200"/>
    <b v="0"/>
    <b v="0"/>
    <s v="music/rock"/>
    <m/>
    <x v="1"/>
    <s v="rock"/>
  </r>
  <r>
    <n v="363"/>
    <s v="Gray-Davis"/>
    <s v="Re-contextualized local initiative"/>
    <n v="5200"/>
    <n v="8330"/>
    <x v="1"/>
    <n v="139"/>
    <x v="1"/>
    <s v="USD"/>
    <n v="1324965600"/>
    <n v="1325052000"/>
    <b v="0"/>
    <b v="0"/>
    <s v="music/rock"/>
    <m/>
    <x v="1"/>
    <s v="rock"/>
  </r>
  <r>
    <n v="364"/>
    <s v="Ramirez-Myers"/>
    <s v="Switchable intangible definition"/>
    <n v="900"/>
    <n v="14547"/>
    <x v="1"/>
    <n v="186"/>
    <x v="1"/>
    <s v="USD"/>
    <n v="1520229600"/>
    <n v="1522818000"/>
    <b v="0"/>
    <b v="0"/>
    <s v="music/indie rock"/>
    <m/>
    <x v="1"/>
    <s v="indie rock"/>
  </r>
  <r>
    <n v="365"/>
    <s v="Lucas, Hall and Bonilla"/>
    <s v="Networked bottom-line initiative"/>
    <n v="1600"/>
    <n v="11735"/>
    <x v="1"/>
    <n v="112"/>
    <x v="2"/>
    <s v="AUD"/>
    <n v="1482991200"/>
    <n v="1485324000"/>
    <b v="0"/>
    <b v="0"/>
    <s v="theater/plays"/>
    <m/>
    <x v="3"/>
    <s v="plays"/>
  </r>
  <r>
    <n v="366"/>
    <s v="Williams, Perez and Villegas"/>
    <s v="Robust directional system engine"/>
    <n v="1800"/>
    <n v="10658"/>
    <x v="1"/>
    <n v="101"/>
    <x v="1"/>
    <s v="USD"/>
    <n v="1294034400"/>
    <n v="1294120800"/>
    <b v="0"/>
    <b v="1"/>
    <s v="theater/plays"/>
    <m/>
    <x v="3"/>
    <s v="plays"/>
  </r>
  <r>
    <n v="367"/>
    <s v="Brooks, Jones and Ingram"/>
    <s v="Triple-buffered explicit methodology"/>
    <n v="9900"/>
    <n v="1870"/>
    <x v="0"/>
    <n v="75"/>
    <x v="1"/>
    <s v="USD"/>
    <n v="1413608400"/>
    <n v="1415685600"/>
    <b v="0"/>
    <b v="1"/>
    <s v="theater/plays"/>
    <m/>
    <x v="3"/>
    <s v="plays"/>
  </r>
  <r>
    <n v="368"/>
    <s v="Whitaker, Wallace and Daniels"/>
    <s v="Reactive directional capacity"/>
    <n v="5200"/>
    <n v="14394"/>
    <x v="1"/>
    <n v="206"/>
    <x v="4"/>
    <s v="GBP"/>
    <n v="1286946000"/>
    <n v="1288933200"/>
    <b v="0"/>
    <b v="1"/>
    <s v="film &amp; video/documentary"/>
    <m/>
    <x v="4"/>
    <s v="documentary"/>
  </r>
  <r>
    <n v="369"/>
    <s v="Smith-Gonzalez"/>
    <s v="Polarized needs-based approach"/>
    <n v="5400"/>
    <n v="14743"/>
    <x v="1"/>
    <n v="154"/>
    <x v="1"/>
    <s v="USD"/>
    <n v="1359871200"/>
    <n v="1363237200"/>
    <b v="0"/>
    <b v="1"/>
    <s v="film &amp; video/television"/>
    <m/>
    <x v="4"/>
    <s v="television"/>
  </r>
  <r>
    <n v="370"/>
    <s v="Skinner PLC"/>
    <s v="Intuitive well-modulated middleware"/>
    <n v="112300"/>
    <n v="178965"/>
    <x v="1"/>
    <n v="5966"/>
    <x v="1"/>
    <s v="USD"/>
    <n v="1555304400"/>
    <n v="1555822800"/>
    <b v="0"/>
    <b v="0"/>
    <s v="theater/plays"/>
    <m/>
    <x v="3"/>
    <s v="plays"/>
  </r>
  <r>
    <n v="371"/>
    <s v="Nolan, Smith and Sanchez"/>
    <s v="Multi-channeled logistical matrices"/>
    <n v="189200"/>
    <n v="128410"/>
    <x v="0"/>
    <n v="2176"/>
    <x v="1"/>
    <s v="USD"/>
    <n v="1423375200"/>
    <n v="1427778000"/>
    <b v="0"/>
    <b v="0"/>
    <s v="theater/plays"/>
    <m/>
    <x v="3"/>
    <s v="plays"/>
  </r>
  <r>
    <n v="372"/>
    <s v="Green-Carr"/>
    <s v="Pre-emptive bifurcated artificial intelligence"/>
    <n v="900"/>
    <n v="14324"/>
    <x v="1"/>
    <n v="169"/>
    <x v="1"/>
    <s v="USD"/>
    <n v="1420696800"/>
    <n v="1422424800"/>
    <b v="0"/>
    <b v="1"/>
    <s v="film &amp; video/documentary"/>
    <m/>
    <x v="4"/>
    <s v="documentary"/>
  </r>
  <r>
    <n v="373"/>
    <s v="Brown-Parker"/>
    <s v="Down-sized coherent toolset"/>
    <n v="22500"/>
    <n v="164291"/>
    <x v="1"/>
    <n v="2106"/>
    <x v="1"/>
    <s v="USD"/>
    <n v="1502946000"/>
    <n v="1503637200"/>
    <b v="0"/>
    <b v="0"/>
    <s v="theater/plays"/>
    <m/>
    <x v="3"/>
    <s v="plays"/>
  </r>
  <r>
    <n v="374"/>
    <s v="Marshall Inc"/>
    <s v="Open-source multi-tasking data-warehouse"/>
    <n v="167400"/>
    <n v="22073"/>
    <x v="0"/>
    <n v="441"/>
    <x v="1"/>
    <s v="USD"/>
    <n v="1547186400"/>
    <n v="1547618400"/>
    <b v="0"/>
    <b v="1"/>
    <s v="film &amp; video/documentary"/>
    <m/>
    <x v="4"/>
    <s v="documentary"/>
  </r>
  <r>
    <n v="375"/>
    <s v="Leblanc-Pineda"/>
    <s v="Future-proofed upward-trending contingency"/>
    <n v="2700"/>
    <n v="1479"/>
    <x v="0"/>
    <n v="25"/>
    <x v="1"/>
    <s v="USD"/>
    <n v="1444971600"/>
    <n v="1449900000"/>
    <b v="0"/>
    <b v="0"/>
    <s v="music/indie rock"/>
    <m/>
    <x v="1"/>
    <s v="indie rock"/>
  </r>
  <r>
    <n v="376"/>
    <s v="Perry PLC"/>
    <s v="Mandatory uniform matrix"/>
    <n v="3400"/>
    <n v="12275"/>
    <x v="1"/>
    <n v="131"/>
    <x v="1"/>
    <s v="USD"/>
    <n v="1404622800"/>
    <n v="1405141200"/>
    <b v="0"/>
    <b v="0"/>
    <s v="music/rock"/>
    <m/>
    <x v="1"/>
    <s v="rock"/>
  </r>
  <r>
    <n v="377"/>
    <s v="Klein, Stark and Livingston"/>
    <s v="Phased methodical initiative"/>
    <n v="49700"/>
    <n v="5098"/>
    <x v="0"/>
    <n v="127"/>
    <x v="1"/>
    <s v="USD"/>
    <n v="1571720400"/>
    <n v="1572933600"/>
    <b v="0"/>
    <b v="0"/>
    <s v="theater/plays"/>
    <m/>
    <x v="3"/>
    <s v="plays"/>
  </r>
  <r>
    <n v="378"/>
    <s v="Fleming-Oliver"/>
    <s v="Managed stable function"/>
    <n v="178200"/>
    <n v="24882"/>
    <x v="0"/>
    <n v="355"/>
    <x v="1"/>
    <s v="USD"/>
    <n v="1526878800"/>
    <n v="1530162000"/>
    <b v="0"/>
    <b v="0"/>
    <s v="film &amp; video/documentary"/>
    <m/>
    <x v="4"/>
    <s v="documentary"/>
  </r>
  <r>
    <n v="379"/>
    <s v="Reilly, Aguirre and Johnson"/>
    <s v="Realigned clear-thinking migration"/>
    <n v="7200"/>
    <n v="2912"/>
    <x v="0"/>
    <n v="44"/>
    <x v="4"/>
    <s v="GBP"/>
    <n v="1319691600"/>
    <n v="1320904800"/>
    <b v="0"/>
    <b v="0"/>
    <s v="theater/plays"/>
    <m/>
    <x v="3"/>
    <s v="plays"/>
  </r>
  <r>
    <n v="380"/>
    <s v="Davidson, Wilcox and Lewis"/>
    <s v="Optional clear-thinking process improvement"/>
    <n v="2500"/>
    <n v="4008"/>
    <x v="1"/>
    <n v="84"/>
    <x v="1"/>
    <s v="USD"/>
    <n v="1371963600"/>
    <n v="1372395600"/>
    <b v="0"/>
    <b v="0"/>
    <s v="theater/plays"/>
    <m/>
    <x v="3"/>
    <s v="plays"/>
  </r>
  <r>
    <n v="381"/>
    <s v="Michael, Anderson and Vincent"/>
    <s v="Cross-group global moratorium"/>
    <n v="5300"/>
    <n v="9749"/>
    <x v="1"/>
    <n v="155"/>
    <x v="1"/>
    <s v="USD"/>
    <n v="1433739600"/>
    <n v="1437714000"/>
    <b v="0"/>
    <b v="0"/>
    <s v="theater/plays"/>
    <m/>
    <x v="3"/>
    <s v="plays"/>
  </r>
  <r>
    <n v="382"/>
    <s v="King Ltd"/>
    <s v="Visionary systemic process improvement"/>
    <n v="9100"/>
    <n v="5803"/>
    <x v="0"/>
    <n v="67"/>
    <x v="1"/>
    <s v="USD"/>
    <n v="1508130000"/>
    <n v="1509771600"/>
    <b v="0"/>
    <b v="0"/>
    <s v="photography/photography books"/>
    <m/>
    <x v="7"/>
    <s v="photography books"/>
  </r>
  <r>
    <n v="383"/>
    <s v="Baker Ltd"/>
    <s v="Progressive intangible flexibility"/>
    <n v="6300"/>
    <n v="14199"/>
    <x v="1"/>
    <n v="189"/>
    <x v="1"/>
    <s v="USD"/>
    <n v="1550037600"/>
    <n v="1550556000"/>
    <b v="0"/>
    <b v="1"/>
    <s v="food/food trucks"/>
    <m/>
    <x v="0"/>
    <s v="food trucks"/>
  </r>
  <r>
    <n v="384"/>
    <s v="Baker, Collins and Smith"/>
    <s v="Reactive real-time software"/>
    <n v="114400"/>
    <n v="196779"/>
    <x v="1"/>
    <n v="4799"/>
    <x v="1"/>
    <s v="USD"/>
    <n v="1486706400"/>
    <n v="1489039200"/>
    <b v="1"/>
    <b v="1"/>
    <s v="film &amp; video/documentary"/>
    <m/>
    <x v="4"/>
    <s v="documentary"/>
  </r>
  <r>
    <n v="385"/>
    <s v="Warren-Harrison"/>
    <s v="Programmable incremental knowledge user"/>
    <n v="38900"/>
    <n v="56859"/>
    <x v="1"/>
    <n v="1137"/>
    <x v="1"/>
    <s v="USD"/>
    <n v="1553835600"/>
    <n v="1556600400"/>
    <b v="0"/>
    <b v="0"/>
    <s v="publishing/nonfiction"/>
    <m/>
    <x v="5"/>
    <s v="nonfiction"/>
  </r>
  <r>
    <n v="386"/>
    <s v="Gardner Group"/>
    <s v="Progressive 5thgeneration customer loyalty"/>
    <n v="135500"/>
    <n v="103554"/>
    <x v="0"/>
    <n v="1068"/>
    <x v="1"/>
    <s v="USD"/>
    <n v="1277528400"/>
    <n v="1278565200"/>
    <b v="0"/>
    <b v="0"/>
    <s v="theater/plays"/>
    <m/>
    <x v="3"/>
    <s v="plays"/>
  </r>
  <r>
    <n v="387"/>
    <s v="Flores-Lambert"/>
    <s v="Triple-buffered logistical frame"/>
    <n v="109000"/>
    <n v="42795"/>
    <x v="0"/>
    <n v="424"/>
    <x v="1"/>
    <s v="USD"/>
    <n v="1339477200"/>
    <n v="1339909200"/>
    <b v="0"/>
    <b v="0"/>
    <s v="technology/wearables"/>
    <m/>
    <x v="2"/>
    <s v="wearables"/>
  </r>
  <r>
    <n v="388"/>
    <s v="Cruz Ltd"/>
    <s v="Exclusive dynamic adapter"/>
    <n v="114800"/>
    <n v="12938"/>
    <x v="3"/>
    <n v="145"/>
    <x v="5"/>
    <s v="CHF"/>
    <n v="1325656800"/>
    <n v="1325829600"/>
    <b v="0"/>
    <b v="0"/>
    <s v="music/indie rock"/>
    <m/>
    <x v="1"/>
    <s v="indie rock"/>
  </r>
  <r>
    <n v="389"/>
    <s v="Knox-Garner"/>
    <s v="Automated systemic hierarchy"/>
    <n v="83000"/>
    <n v="101352"/>
    <x v="1"/>
    <n v="1152"/>
    <x v="1"/>
    <s v="USD"/>
    <n v="1288242000"/>
    <n v="1290578400"/>
    <b v="0"/>
    <b v="0"/>
    <s v="theater/plays"/>
    <m/>
    <x v="3"/>
    <s v="plays"/>
  </r>
  <r>
    <n v="390"/>
    <s v="Davis-Allen"/>
    <s v="Digitized eco-centric core"/>
    <n v="2400"/>
    <n v="4477"/>
    <x v="1"/>
    <n v="50"/>
    <x v="1"/>
    <s v="USD"/>
    <n v="1379048400"/>
    <n v="1380344400"/>
    <b v="0"/>
    <b v="0"/>
    <s v="photography/photography books"/>
    <m/>
    <x v="7"/>
    <s v="photography books"/>
  </r>
  <r>
    <n v="391"/>
    <s v="Miller-Patel"/>
    <s v="Mandatory uniform strategy"/>
    <n v="60400"/>
    <n v="4393"/>
    <x v="0"/>
    <n v="151"/>
    <x v="1"/>
    <s v="USD"/>
    <n v="1389679200"/>
    <n v="1389852000"/>
    <b v="0"/>
    <b v="0"/>
    <s v="publishing/nonfiction"/>
    <m/>
    <x v="5"/>
    <s v="nonfiction"/>
  </r>
  <r>
    <n v="392"/>
    <s v="Hernandez-Grimes"/>
    <s v="Profit-focused zero administration forecast"/>
    <n v="102900"/>
    <n v="67546"/>
    <x v="0"/>
    <n v="1608"/>
    <x v="1"/>
    <s v="USD"/>
    <n v="1294293600"/>
    <n v="1294466400"/>
    <b v="0"/>
    <b v="0"/>
    <s v="technology/wearables"/>
    <m/>
    <x v="2"/>
    <s v="wearables"/>
  </r>
  <r>
    <n v="393"/>
    <s v="Owens, Hall and Gonzalez"/>
    <s v="De-engineered static orchestration"/>
    <n v="62800"/>
    <n v="143788"/>
    <x v="1"/>
    <n v="3059"/>
    <x v="0"/>
    <s v="CAD"/>
    <n v="1500267600"/>
    <n v="1500354000"/>
    <b v="0"/>
    <b v="0"/>
    <s v="music/jazz"/>
    <m/>
    <x v="1"/>
    <s v="jazz"/>
  </r>
  <r>
    <n v="394"/>
    <s v="Noble-Bailey"/>
    <s v="Customizable dynamic info-mediaries"/>
    <n v="800"/>
    <n v="3755"/>
    <x v="1"/>
    <n v="34"/>
    <x v="1"/>
    <s v="USD"/>
    <n v="1375074000"/>
    <n v="1375938000"/>
    <b v="0"/>
    <b v="1"/>
    <s v="film &amp; video/documentary"/>
    <m/>
    <x v="4"/>
    <s v="documentary"/>
  </r>
  <r>
    <n v="395"/>
    <s v="Taylor PLC"/>
    <s v="Enhanced incremental budgetary management"/>
    <n v="7100"/>
    <n v="9238"/>
    <x v="1"/>
    <n v="220"/>
    <x v="1"/>
    <s v="USD"/>
    <n v="1323324000"/>
    <n v="1323410400"/>
    <b v="1"/>
    <b v="0"/>
    <s v="theater/plays"/>
    <m/>
    <x v="3"/>
    <s v="plays"/>
  </r>
  <r>
    <n v="396"/>
    <s v="Holmes PLC"/>
    <s v="Digitized local info-mediaries"/>
    <n v="46100"/>
    <n v="77012"/>
    <x v="1"/>
    <n v="1604"/>
    <x v="2"/>
    <s v="AUD"/>
    <n v="1538715600"/>
    <n v="1539406800"/>
    <b v="0"/>
    <b v="0"/>
    <s v="film &amp; video/drama"/>
    <m/>
    <x v="4"/>
    <s v="drama"/>
  </r>
  <r>
    <n v="397"/>
    <s v="Jones-Martin"/>
    <s v="Virtual systematic monitoring"/>
    <n v="8100"/>
    <n v="14083"/>
    <x v="1"/>
    <n v="454"/>
    <x v="1"/>
    <s v="USD"/>
    <n v="1369285200"/>
    <n v="1369803600"/>
    <b v="0"/>
    <b v="0"/>
    <s v="music/rock"/>
    <m/>
    <x v="1"/>
    <s v="rock"/>
  </r>
  <r>
    <n v="398"/>
    <s v="Myers LLC"/>
    <s v="Reactive bottom-line open architecture"/>
    <n v="1700"/>
    <n v="12202"/>
    <x v="1"/>
    <n v="123"/>
    <x v="6"/>
    <s v="EUR"/>
    <n v="1525755600"/>
    <n v="1525928400"/>
    <b v="0"/>
    <b v="1"/>
    <s v="film &amp; video/animation"/>
    <m/>
    <x v="4"/>
    <s v="animation"/>
  </r>
  <r>
    <n v="399"/>
    <s v="Acosta, Mullins and Morris"/>
    <s v="Pre-emptive interactive model"/>
    <n v="97300"/>
    <n v="62127"/>
    <x v="0"/>
    <n v="941"/>
    <x v="1"/>
    <s v="USD"/>
    <n v="1296626400"/>
    <n v="1297231200"/>
    <b v="0"/>
    <b v="0"/>
    <s v="music/indie rock"/>
    <m/>
    <x v="1"/>
    <s v="indie rock"/>
  </r>
  <r>
    <n v="400"/>
    <s v="Bell PLC"/>
    <s v="Ergonomic eco-centric open architecture"/>
    <n v="100"/>
    <n v="2"/>
    <x v="0"/>
    <n v="1"/>
    <x v="1"/>
    <s v="USD"/>
    <n v="1376629200"/>
    <n v="1378530000"/>
    <b v="0"/>
    <b v="1"/>
    <s v="photography/photography books"/>
    <m/>
    <x v="7"/>
    <s v="photography books"/>
  </r>
  <r>
    <n v="401"/>
    <s v="Smith-Schmidt"/>
    <s v="Inverse radical hierarchy"/>
    <n v="900"/>
    <n v="13772"/>
    <x v="1"/>
    <n v="299"/>
    <x v="1"/>
    <s v="USD"/>
    <n v="1572152400"/>
    <n v="1572152400"/>
    <b v="0"/>
    <b v="0"/>
    <s v="theater/plays"/>
    <m/>
    <x v="3"/>
    <s v="plays"/>
  </r>
  <r>
    <n v="402"/>
    <s v="Ruiz, Richardson and Cole"/>
    <s v="Team-oriented static interface"/>
    <n v="7300"/>
    <n v="2946"/>
    <x v="0"/>
    <n v="40"/>
    <x v="1"/>
    <s v="USD"/>
    <n v="1325829600"/>
    <n v="1329890400"/>
    <b v="0"/>
    <b v="1"/>
    <s v="film &amp; video/shorts"/>
    <m/>
    <x v="4"/>
    <s v="shorts"/>
  </r>
  <r>
    <n v="403"/>
    <s v="Leonard-Mcclain"/>
    <s v="Virtual foreground throughput"/>
    <n v="195800"/>
    <n v="168820"/>
    <x v="0"/>
    <n v="3015"/>
    <x v="0"/>
    <s v="CAD"/>
    <n v="1273640400"/>
    <n v="1276750800"/>
    <b v="0"/>
    <b v="1"/>
    <s v="theater/plays"/>
    <m/>
    <x v="3"/>
    <s v="plays"/>
  </r>
  <r>
    <n v="404"/>
    <s v="Bailey-Boyer"/>
    <s v="Visionary exuding Internet solution"/>
    <n v="48900"/>
    <n v="154321"/>
    <x v="1"/>
    <n v="2237"/>
    <x v="1"/>
    <s v="USD"/>
    <n v="1510639200"/>
    <n v="1510898400"/>
    <b v="0"/>
    <b v="0"/>
    <s v="theater/plays"/>
    <m/>
    <x v="3"/>
    <s v="plays"/>
  </r>
  <r>
    <n v="405"/>
    <s v="Lee LLC"/>
    <s v="Synchronized secondary analyzer"/>
    <n v="29600"/>
    <n v="26527"/>
    <x v="0"/>
    <n v="435"/>
    <x v="1"/>
    <s v="USD"/>
    <n v="1528088400"/>
    <n v="1532408400"/>
    <b v="0"/>
    <b v="0"/>
    <s v="theater/plays"/>
    <m/>
    <x v="3"/>
    <s v="plays"/>
  </r>
  <r>
    <n v="406"/>
    <s v="Lyons Inc"/>
    <s v="Balanced attitude-oriented parallelism"/>
    <n v="39300"/>
    <n v="71583"/>
    <x v="1"/>
    <n v="645"/>
    <x v="1"/>
    <s v="USD"/>
    <n v="1359525600"/>
    <n v="1360562400"/>
    <b v="1"/>
    <b v="0"/>
    <s v="film &amp; video/documentary"/>
    <m/>
    <x v="4"/>
    <s v="documentary"/>
  </r>
  <r>
    <n v="407"/>
    <s v="Herrera-Wilson"/>
    <s v="Organized bandwidth-monitored core"/>
    <n v="3400"/>
    <n v="12100"/>
    <x v="1"/>
    <n v="484"/>
    <x v="3"/>
    <s v="DKK"/>
    <n v="1570942800"/>
    <n v="1571547600"/>
    <b v="0"/>
    <b v="0"/>
    <s v="theater/plays"/>
    <m/>
    <x v="3"/>
    <s v="plays"/>
  </r>
  <r>
    <n v="408"/>
    <s v="Mahoney, Adams and Lucas"/>
    <s v="Cloned leadingedge utilization"/>
    <n v="9200"/>
    <n v="12129"/>
    <x v="1"/>
    <n v="154"/>
    <x v="0"/>
    <s v="CAD"/>
    <n v="1466398800"/>
    <n v="1468126800"/>
    <b v="0"/>
    <b v="0"/>
    <s v="film &amp; video/documentary"/>
    <m/>
    <x v="4"/>
    <s v="documentary"/>
  </r>
  <r>
    <n v="409"/>
    <s v="Stewart LLC"/>
    <s v="Secured asymmetric projection"/>
    <n v="135600"/>
    <n v="62804"/>
    <x v="0"/>
    <n v="714"/>
    <x v="1"/>
    <s v="USD"/>
    <n v="1492491600"/>
    <n v="1492837200"/>
    <b v="0"/>
    <b v="0"/>
    <s v="music/rock"/>
    <m/>
    <x v="1"/>
    <s v="rock"/>
  </r>
  <r>
    <n v="410"/>
    <s v="Mcmillan Group"/>
    <s v="Advanced cohesive Graphic Interface"/>
    <n v="153700"/>
    <n v="55536"/>
    <x v="2"/>
    <n v="1111"/>
    <x v="1"/>
    <s v="USD"/>
    <n v="1430197200"/>
    <n v="1430197200"/>
    <b v="0"/>
    <b v="0"/>
    <s v="games/mobile games"/>
    <m/>
    <x v="6"/>
    <s v="mobile games"/>
  </r>
  <r>
    <n v="411"/>
    <s v="Beck, Thompson and Martinez"/>
    <s v="Down-sized maximized function"/>
    <n v="7800"/>
    <n v="8161"/>
    <x v="1"/>
    <n v="82"/>
    <x v="1"/>
    <s v="USD"/>
    <n v="1496034000"/>
    <n v="1496206800"/>
    <b v="0"/>
    <b v="0"/>
    <s v="theater/plays"/>
    <m/>
    <x v="3"/>
    <s v="plays"/>
  </r>
  <r>
    <n v="412"/>
    <s v="Rodriguez-Scott"/>
    <s v="Realigned zero tolerance software"/>
    <n v="2100"/>
    <n v="14046"/>
    <x v="1"/>
    <n v="134"/>
    <x v="1"/>
    <s v="USD"/>
    <n v="1388728800"/>
    <n v="1389592800"/>
    <b v="0"/>
    <b v="0"/>
    <s v="publishing/fiction"/>
    <m/>
    <x v="5"/>
    <s v="fiction"/>
  </r>
  <r>
    <n v="413"/>
    <s v="Rush-Bowers"/>
    <s v="Persevering analyzing extranet"/>
    <n v="189500"/>
    <n v="117628"/>
    <x v="2"/>
    <n v="1089"/>
    <x v="1"/>
    <s v="USD"/>
    <n v="1543298400"/>
    <n v="1545631200"/>
    <b v="0"/>
    <b v="0"/>
    <s v="film &amp; video/animation"/>
    <m/>
    <x v="4"/>
    <s v="animation"/>
  </r>
  <r>
    <n v="414"/>
    <s v="Davis and Sons"/>
    <s v="Innovative human-resource migration"/>
    <n v="188200"/>
    <n v="159405"/>
    <x v="0"/>
    <n v="5497"/>
    <x v="1"/>
    <s v="USD"/>
    <n v="1271739600"/>
    <n v="1272430800"/>
    <b v="0"/>
    <b v="1"/>
    <s v="food/food trucks"/>
    <m/>
    <x v="0"/>
    <s v="food trucks"/>
  </r>
  <r>
    <n v="415"/>
    <s v="Anderson-Pham"/>
    <s v="Intuitive needs-based monitoring"/>
    <n v="113500"/>
    <n v="12552"/>
    <x v="0"/>
    <n v="418"/>
    <x v="1"/>
    <s v="USD"/>
    <n v="1326434400"/>
    <n v="1327903200"/>
    <b v="0"/>
    <b v="0"/>
    <s v="theater/plays"/>
    <m/>
    <x v="3"/>
    <s v="plays"/>
  </r>
  <r>
    <n v="416"/>
    <s v="Stewart-Coleman"/>
    <s v="Customer-focused disintermediate toolset"/>
    <n v="134600"/>
    <n v="59007"/>
    <x v="0"/>
    <n v="1439"/>
    <x v="1"/>
    <s v="USD"/>
    <n v="1295244000"/>
    <n v="1296021600"/>
    <b v="0"/>
    <b v="1"/>
    <s v="film &amp; video/documentary"/>
    <m/>
    <x v="4"/>
    <s v="documentary"/>
  </r>
  <r>
    <n v="417"/>
    <s v="Bradshaw, Smith and Ryan"/>
    <s v="Upgradable 24/7 emulation"/>
    <n v="1700"/>
    <n v="943"/>
    <x v="0"/>
    <n v="15"/>
    <x v="1"/>
    <s v="USD"/>
    <n v="1541221200"/>
    <n v="1543298400"/>
    <b v="0"/>
    <b v="0"/>
    <s v="theater/plays"/>
    <m/>
    <x v="3"/>
    <s v="plays"/>
  </r>
  <r>
    <n v="418"/>
    <s v="Jackson PLC"/>
    <s v="Quality-focused client-server core"/>
    <n v="163700"/>
    <n v="93963"/>
    <x v="0"/>
    <n v="1999"/>
    <x v="0"/>
    <s v="CAD"/>
    <n v="1336280400"/>
    <n v="1336366800"/>
    <b v="0"/>
    <b v="0"/>
    <s v="film &amp; video/documentary"/>
    <m/>
    <x v="4"/>
    <s v="documentary"/>
  </r>
  <r>
    <n v="419"/>
    <s v="Ware-Arias"/>
    <s v="Upgradable maximized protocol"/>
    <n v="113800"/>
    <n v="140469"/>
    <x v="1"/>
    <n v="5203"/>
    <x v="1"/>
    <s v="USD"/>
    <n v="1324533600"/>
    <n v="1325052000"/>
    <b v="0"/>
    <b v="0"/>
    <s v="technology/web"/>
    <m/>
    <x v="2"/>
    <s v="web"/>
  </r>
  <r>
    <n v="420"/>
    <s v="Blair, Reyes and Woods"/>
    <s v="Cross-platform interactive synergy"/>
    <n v="5000"/>
    <n v="6423"/>
    <x v="1"/>
    <n v="94"/>
    <x v="1"/>
    <s v="USD"/>
    <n v="1498366800"/>
    <n v="1499576400"/>
    <b v="0"/>
    <b v="0"/>
    <s v="theater/plays"/>
    <m/>
    <x v="3"/>
    <s v="plays"/>
  </r>
  <r>
    <n v="421"/>
    <s v="Thomas-Lopez"/>
    <s v="User-centric fault-tolerant archive"/>
    <n v="9400"/>
    <n v="6015"/>
    <x v="0"/>
    <n v="118"/>
    <x v="1"/>
    <s v="USD"/>
    <n v="1498712400"/>
    <n v="1501304400"/>
    <b v="0"/>
    <b v="1"/>
    <s v="technology/wearables"/>
    <m/>
    <x v="2"/>
    <s v="wearables"/>
  </r>
  <r>
    <n v="422"/>
    <s v="Brown, Davies and Pacheco"/>
    <s v="Reverse-engineered regional knowledge user"/>
    <n v="8700"/>
    <n v="11075"/>
    <x v="1"/>
    <n v="205"/>
    <x v="1"/>
    <s v="USD"/>
    <n v="1271480400"/>
    <n v="1273208400"/>
    <b v="0"/>
    <b v="1"/>
    <s v="theater/plays"/>
    <m/>
    <x v="3"/>
    <s v="plays"/>
  </r>
  <r>
    <n v="423"/>
    <s v="Jones-Riddle"/>
    <s v="Self-enabling real-time definition"/>
    <n v="147800"/>
    <n v="15723"/>
    <x v="0"/>
    <n v="162"/>
    <x v="1"/>
    <s v="USD"/>
    <n v="1316667600"/>
    <n v="1316840400"/>
    <b v="0"/>
    <b v="1"/>
    <s v="food/food trucks"/>
    <m/>
    <x v="0"/>
    <s v="food trucks"/>
  </r>
  <r>
    <n v="424"/>
    <s v="Schmidt-Gomez"/>
    <s v="User-centric impactful projection"/>
    <n v="5100"/>
    <n v="2064"/>
    <x v="0"/>
    <n v="83"/>
    <x v="1"/>
    <s v="USD"/>
    <n v="1524027600"/>
    <n v="1524546000"/>
    <b v="0"/>
    <b v="0"/>
    <s v="music/indie rock"/>
    <m/>
    <x v="1"/>
    <s v="indie rock"/>
  </r>
  <r>
    <n v="425"/>
    <s v="Sullivan, Davis and Booth"/>
    <s v="Vision-oriented actuating hardware"/>
    <n v="2700"/>
    <n v="7767"/>
    <x v="1"/>
    <n v="92"/>
    <x v="1"/>
    <s v="USD"/>
    <n v="1438059600"/>
    <n v="1438578000"/>
    <b v="0"/>
    <b v="0"/>
    <s v="photography/photography books"/>
    <m/>
    <x v="7"/>
    <s v="photography books"/>
  </r>
  <r>
    <n v="426"/>
    <s v="Edwards-Kane"/>
    <s v="Virtual leadingedge framework"/>
    <n v="1800"/>
    <n v="10313"/>
    <x v="1"/>
    <n v="219"/>
    <x v="1"/>
    <s v="USD"/>
    <n v="1361944800"/>
    <n v="1362549600"/>
    <b v="0"/>
    <b v="0"/>
    <s v="theater/plays"/>
    <m/>
    <x v="3"/>
    <s v="plays"/>
  </r>
  <r>
    <n v="427"/>
    <s v="Hicks, Wall and Webb"/>
    <s v="Managed discrete framework"/>
    <n v="174500"/>
    <n v="197018"/>
    <x v="1"/>
    <n v="2526"/>
    <x v="1"/>
    <s v="USD"/>
    <n v="1410584400"/>
    <n v="1413349200"/>
    <b v="0"/>
    <b v="1"/>
    <s v="theater/plays"/>
    <m/>
    <x v="3"/>
    <s v="plays"/>
  </r>
  <r>
    <n v="428"/>
    <s v="Mayer-Richmond"/>
    <s v="Progressive zero-defect capability"/>
    <n v="101400"/>
    <n v="47037"/>
    <x v="0"/>
    <n v="747"/>
    <x v="1"/>
    <s v="USD"/>
    <n v="1297404000"/>
    <n v="1298008800"/>
    <b v="0"/>
    <b v="0"/>
    <s v="film &amp; video/animation"/>
    <m/>
    <x v="4"/>
    <s v="animation"/>
  </r>
  <r>
    <n v="429"/>
    <s v="Robles Ltd"/>
    <s v="Right-sized demand-driven adapter"/>
    <n v="191000"/>
    <n v="173191"/>
    <x v="3"/>
    <n v="2138"/>
    <x v="1"/>
    <s v="USD"/>
    <n v="1392012000"/>
    <n v="1394427600"/>
    <b v="0"/>
    <b v="1"/>
    <s v="photography/photography books"/>
    <m/>
    <x v="7"/>
    <s v="photography books"/>
  </r>
  <r>
    <n v="430"/>
    <s v="Cochran Ltd"/>
    <s v="Re-engineered attitude-oriented frame"/>
    <n v="8100"/>
    <n v="5487"/>
    <x v="0"/>
    <n v="84"/>
    <x v="1"/>
    <s v="USD"/>
    <n v="1569733200"/>
    <n v="1572670800"/>
    <b v="0"/>
    <b v="0"/>
    <s v="theater/plays"/>
    <m/>
    <x v="3"/>
    <s v="plays"/>
  </r>
  <r>
    <n v="431"/>
    <s v="Rosales LLC"/>
    <s v="Compatible multimedia utilization"/>
    <n v="5100"/>
    <n v="9817"/>
    <x v="1"/>
    <n v="94"/>
    <x v="1"/>
    <s v="USD"/>
    <n v="1529643600"/>
    <n v="1531112400"/>
    <b v="1"/>
    <b v="0"/>
    <s v="theater/plays"/>
    <m/>
    <x v="3"/>
    <s v="plays"/>
  </r>
  <r>
    <n v="432"/>
    <s v="Harper-Bryan"/>
    <s v="Re-contextualized dedicated hardware"/>
    <n v="7700"/>
    <n v="6369"/>
    <x v="0"/>
    <n v="91"/>
    <x v="1"/>
    <s v="USD"/>
    <n v="1399006800"/>
    <n v="1400734800"/>
    <b v="0"/>
    <b v="0"/>
    <s v="theater/plays"/>
    <m/>
    <x v="3"/>
    <s v="plays"/>
  </r>
  <r>
    <n v="433"/>
    <s v="Potter, Harper and Everett"/>
    <s v="Decentralized composite paradigm"/>
    <n v="121400"/>
    <n v="65755"/>
    <x v="0"/>
    <n v="792"/>
    <x v="1"/>
    <s v="USD"/>
    <n v="1385359200"/>
    <n v="1386741600"/>
    <b v="0"/>
    <b v="1"/>
    <s v="film &amp; video/documentary"/>
    <m/>
    <x v="4"/>
    <s v="documentary"/>
  </r>
  <r>
    <n v="434"/>
    <s v="Floyd-Sims"/>
    <s v="Cloned transitional hierarchy"/>
    <n v="5400"/>
    <n v="903"/>
    <x v="3"/>
    <n v="10"/>
    <x v="0"/>
    <s v="CAD"/>
    <n v="1480572000"/>
    <n v="1481781600"/>
    <b v="1"/>
    <b v="0"/>
    <s v="theater/plays"/>
    <m/>
    <x v="3"/>
    <s v="plays"/>
  </r>
  <r>
    <n v="435"/>
    <s v="Spence, Jackson and Kelly"/>
    <s v="Advanced discrete leverage"/>
    <n v="152400"/>
    <n v="178120"/>
    <x v="1"/>
    <n v="1713"/>
    <x v="6"/>
    <s v="EUR"/>
    <n v="1418623200"/>
    <n v="1419660000"/>
    <b v="0"/>
    <b v="1"/>
    <s v="theater/plays"/>
    <m/>
    <x v="3"/>
    <s v="plays"/>
  </r>
  <r>
    <n v="436"/>
    <s v="King-Nguyen"/>
    <s v="Open-source incremental throughput"/>
    <n v="1300"/>
    <n v="13678"/>
    <x v="1"/>
    <n v="249"/>
    <x v="1"/>
    <s v="USD"/>
    <n v="1555736400"/>
    <n v="1555822800"/>
    <b v="0"/>
    <b v="0"/>
    <s v="music/jazz"/>
    <m/>
    <x v="1"/>
    <s v="jazz"/>
  </r>
  <r>
    <n v="437"/>
    <s v="Hansen Group"/>
    <s v="Centralized regional interface"/>
    <n v="8100"/>
    <n v="9969"/>
    <x v="1"/>
    <n v="192"/>
    <x v="1"/>
    <s v="USD"/>
    <n v="1442120400"/>
    <n v="1442379600"/>
    <b v="0"/>
    <b v="1"/>
    <s v="film &amp; video/animation"/>
    <m/>
    <x v="4"/>
    <s v="animation"/>
  </r>
  <r>
    <n v="438"/>
    <s v="Mathis, Hall and Hansen"/>
    <s v="Streamlined web-enabled knowledgebase"/>
    <n v="8300"/>
    <n v="14827"/>
    <x v="1"/>
    <n v="247"/>
    <x v="1"/>
    <s v="USD"/>
    <n v="1362376800"/>
    <n v="1364965200"/>
    <b v="0"/>
    <b v="0"/>
    <s v="theater/plays"/>
    <m/>
    <x v="3"/>
    <s v="plays"/>
  </r>
  <r>
    <n v="439"/>
    <s v="Cummings Inc"/>
    <s v="Digitized transitional monitoring"/>
    <n v="28400"/>
    <n v="100900"/>
    <x v="1"/>
    <n v="2293"/>
    <x v="1"/>
    <s v="USD"/>
    <n v="1478408400"/>
    <n v="1479016800"/>
    <b v="0"/>
    <b v="0"/>
    <s v="film &amp; video/science fiction"/>
    <m/>
    <x v="4"/>
    <s v="science fiction"/>
  </r>
  <r>
    <n v="440"/>
    <s v="Miller-Poole"/>
    <s v="Networked optimal adapter"/>
    <n v="102500"/>
    <n v="165954"/>
    <x v="1"/>
    <n v="3131"/>
    <x v="1"/>
    <s v="USD"/>
    <n v="1498798800"/>
    <n v="1499662800"/>
    <b v="0"/>
    <b v="0"/>
    <s v="film &amp; video/television"/>
    <m/>
    <x v="4"/>
    <s v="television"/>
  </r>
  <r>
    <n v="441"/>
    <s v="Rodriguez-West"/>
    <s v="Automated optimal function"/>
    <n v="7000"/>
    <n v="1744"/>
    <x v="0"/>
    <n v="32"/>
    <x v="1"/>
    <s v="USD"/>
    <n v="1335416400"/>
    <n v="1337835600"/>
    <b v="0"/>
    <b v="0"/>
    <s v="technology/wearables"/>
    <m/>
    <x v="2"/>
    <s v="wearables"/>
  </r>
  <r>
    <n v="442"/>
    <s v="Calderon, Bradford and Dean"/>
    <s v="Devolved system-worthy framework"/>
    <n v="5400"/>
    <n v="10731"/>
    <x v="1"/>
    <n v="143"/>
    <x v="6"/>
    <s v="EUR"/>
    <n v="1504328400"/>
    <n v="1505710800"/>
    <b v="0"/>
    <b v="0"/>
    <s v="theater/plays"/>
    <m/>
    <x v="3"/>
    <s v="plays"/>
  </r>
  <r>
    <n v="443"/>
    <s v="Clark-Bowman"/>
    <s v="Stand-alone user-facing service-desk"/>
    <n v="9300"/>
    <n v="3232"/>
    <x v="3"/>
    <n v="90"/>
    <x v="1"/>
    <s v="USD"/>
    <n v="1285822800"/>
    <n v="1287464400"/>
    <b v="0"/>
    <b v="0"/>
    <s v="theater/plays"/>
    <m/>
    <x v="3"/>
    <s v="plays"/>
  </r>
  <r>
    <n v="444"/>
    <s v="Hensley Ltd"/>
    <s v="Versatile global attitude"/>
    <n v="6200"/>
    <n v="10938"/>
    <x v="1"/>
    <n v="296"/>
    <x v="1"/>
    <s v="USD"/>
    <n v="1311483600"/>
    <n v="1311656400"/>
    <b v="0"/>
    <b v="1"/>
    <s v="music/indie rock"/>
    <m/>
    <x v="1"/>
    <s v="indie rock"/>
  </r>
  <r>
    <n v="445"/>
    <s v="Anderson-Pearson"/>
    <s v="Intuitive demand-driven Local Area Network"/>
    <n v="2100"/>
    <n v="10739"/>
    <x v="1"/>
    <n v="170"/>
    <x v="1"/>
    <s v="USD"/>
    <n v="1291356000"/>
    <n v="1293170400"/>
    <b v="0"/>
    <b v="1"/>
    <s v="theater/plays"/>
    <m/>
    <x v="3"/>
    <s v="plays"/>
  </r>
  <r>
    <n v="446"/>
    <s v="Martin, Martin and Solis"/>
    <s v="Assimilated uniform methodology"/>
    <n v="6800"/>
    <n v="5579"/>
    <x v="0"/>
    <n v="186"/>
    <x v="1"/>
    <s v="USD"/>
    <n v="1355810400"/>
    <n v="1355983200"/>
    <b v="0"/>
    <b v="0"/>
    <s v="technology/wearables"/>
    <m/>
    <x v="2"/>
    <s v="wearables"/>
  </r>
  <r>
    <n v="447"/>
    <s v="Harrington-Harper"/>
    <s v="Self-enabling next generation algorithm"/>
    <n v="155200"/>
    <n v="37754"/>
    <x v="3"/>
    <n v="439"/>
    <x v="4"/>
    <s v="GBP"/>
    <n v="1513663200"/>
    <n v="1515045600"/>
    <b v="0"/>
    <b v="0"/>
    <s v="film &amp; video/television"/>
    <m/>
    <x v="4"/>
    <s v="television"/>
  </r>
  <r>
    <n v="448"/>
    <s v="Price and Sons"/>
    <s v="Object-based demand-driven strategy"/>
    <n v="89900"/>
    <n v="45384"/>
    <x v="0"/>
    <n v="605"/>
    <x v="1"/>
    <s v="USD"/>
    <n v="1365915600"/>
    <n v="1366088400"/>
    <b v="0"/>
    <b v="1"/>
    <s v="games/video games"/>
    <m/>
    <x v="6"/>
    <s v="video games"/>
  </r>
  <r>
    <n v="449"/>
    <s v="Cuevas-Morales"/>
    <s v="Public-key coherent ability"/>
    <n v="900"/>
    <n v="8703"/>
    <x v="1"/>
    <n v="86"/>
    <x v="3"/>
    <s v="DKK"/>
    <n v="1551852000"/>
    <n v="1553317200"/>
    <b v="0"/>
    <b v="0"/>
    <s v="games/video games"/>
    <m/>
    <x v="6"/>
    <s v="video games"/>
  </r>
  <r>
    <n v="450"/>
    <s v="Delgado-Hatfield"/>
    <s v="Up-sized composite success"/>
    <n v="100"/>
    <n v="4"/>
    <x v="0"/>
    <n v="1"/>
    <x v="0"/>
    <s v="CAD"/>
    <n v="1540098000"/>
    <n v="1542088800"/>
    <b v="0"/>
    <b v="0"/>
    <s v="film &amp; video/animation"/>
    <m/>
    <x v="4"/>
    <s v="animation"/>
  </r>
  <r>
    <n v="451"/>
    <s v="Padilla-Porter"/>
    <s v="Innovative exuding matrix"/>
    <n v="148400"/>
    <n v="182302"/>
    <x v="1"/>
    <n v="6286"/>
    <x v="1"/>
    <s v="USD"/>
    <n v="1500440400"/>
    <n v="1503118800"/>
    <b v="0"/>
    <b v="0"/>
    <s v="music/rock"/>
    <m/>
    <x v="1"/>
    <s v="rock"/>
  </r>
  <r>
    <n v="452"/>
    <s v="Morris Group"/>
    <s v="Realigned impactful artificial intelligence"/>
    <n v="4800"/>
    <n v="3045"/>
    <x v="0"/>
    <n v="31"/>
    <x v="1"/>
    <s v="USD"/>
    <n v="1278392400"/>
    <n v="1278478800"/>
    <b v="0"/>
    <b v="0"/>
    <s v="film &amp; video/drama"/>
    <m/>
    <x v="4"/>
    <s v="drama"/>
  </r>
  <r>
    <n v="453"/>
    <s v="Saunders Ltd"/>
    <s v="Multi-layered multi-tasking secured line"/>
    <n v="182400"/>
    <n v="102749"/>
    <x v="0"/>
    <n v="1181"/>
    <x v="1"/>
    <s v="USD"/>
    <n v="1480572000"/>
    <n v="1484114400"/>
    <b v="0"/>
    <b v="0"/>
    <s v="film &amp; video/science fiction"/>
    <m/>
    <x v="4"/>
    <s v="science fiction"/>
  </r>
  <r>
    <n v="454"/>
    <s v="Woods Inc"/>
    <s v="Upgradable upward-trending portal"/>
    <n v="4000"/>
    <n v="1763"/>
    <x v="0"/>
    <n v="39"/>
    <x v="1"/>
    <s v="USD"/>
    <n v="1382331600"/>
    <n v="1385445600"/>
    <b v="0"/>
    <b v="1"/>
    <s v="film &amp; video/drama"/>
    <m/>
    <x v="4"/>
    <s v="drama"/>
  </r>
  <r>
    <n v="455"/>
    <s v="Villanueva, Wright and Richardson"/>
    <s v="Profit-focused global product"/>
    <n v="116500"/>
    <n v="137904"/>
    <x v="1"/>
    <n v="3727"/>
    <x v="1"/>
    <s v="USD"/>
    <n v="1316754000"/>
    <n v="1318741200"/>
    <b v="0"/>
    <b v="0"/>
    <s v="theater/plays"/>
    <m/>
    <x v="3"/>
    <s v="plays"/>
  </r>
  <r>
    <n v="456"/>
    <s v="Wilson, Brooks and Clark"/>
    <s v="Operative well-modulated data-warehouse"/>
    <n v="146400"/>
    <n v="152438"/>
    <x v="1"/>
    <n v="1605"/>
    <x v="1"/>
    <s v="USD"/>
    <n v="1518242400"/>
    <n v="1518242400"/>
    <b v="0"/>
    <b v="1"/>
    <s v="music/indie rock"/>
    <m/>
    <x v="1"/>
    <s v="indie rock"/>
  </r>
  <r>
    <n v="457"/>
    <s v="Sheppard, Smith and Spence"/>
    <s v="Cloned asymmetric functionalities"/>
    <n v="5000"/>
    <n v="1332"/>
    <x v="0"/>
    <n v="46"/>
    <x v="1"/>
    <s v="USD"/>
    <n v="1476421200"/>
    <n v="1476594000"/>
    <b v="0"/>
    <b v="0"/>
    <s v="theater/plays"/>
    <m/>
    <x v="3"/>
    <s v="plays"/>
  </r>
  <r>
    <n v="458"/>
    <s v="Wise, Thompson and Allen"/>
    <s v="Pre-emptive neutral portal"/>
    <n v="33800"/>
    <n v="118706"/>
    <x v="1"/>
    <n v="2120"/>
    <x v="1"/>
    <s v="USD"/>
    <n v="1269752400"/>
    <n v="1273554000"/>
    <b v="0"/>
    <b v="0"/>
    <s v="theater/plays"/>
    <m/>
    <x v="3"/>
    <s v="plays"/>
  </r>
  <r>
    <n v="459"/>
    <s v="Lane, Ryan and Chapman"/>
    <s v="Switchable demand-driven help-desk"/>
    <n v="6300"/>
    <n v="5674"/>
    <x v="0"/>
    <n v="105"/>
    <x v="1"/>
    <s v="USD"/>
    <n v="1419746400"/>
    <n v="1421906400"/>
    <b v="0"/>
    <b v="0"/>
    <s v="film &amp; video/documentary"/>
    <m/>
    <x v="4"/>
    <s v="documentary"/>
  </r>
  <r>
    <n v="460"/>
    <s v="Rich, Alvarez and King"/>
    <s v="Business-focused static ability"/>
    <n v="2400"/>
    <n v="4119"/>
    <x v="1"/>
    <n v="50"/>
    <x v="1"/>
    <s v="USD"/>
    <n v="1281330000"/>
    <n v="1281589200"/>
    <b v="0"/>
    <b v="0"/>
    <s v="theater/plays"/>
    <m/>
    <x v="3"/>
    <s v="plays"/>
  </r>
  <r>
    <n v="461"/>
    <s v="Terry-Salinas"/>
    <s v="Networked secondary structure"/>
    <n v="98800"/>
    <n v="139354"/>
    <x v="1"/>
    <n v="2080"/>
    <x v="1"/>
    <s v="USD"/>
    <n v="1398661200"/>
    <n v="1400389200"/>
    <b v="0"/>
    <b v="0"/>
    <s v="film &amp; video/drama"/>
    <m/>
    <x v="4"/>
    <s v="drama"/>
  </r>
  <r>
    <n v="462"/>
    <s v="Wang-Rodriguez"/>
    <s v="Total multimedia website"/>
    <n v="188800"/>
    <n v="57734"/>
    <x v="0"/>
    <n v="535"/>
    <x v="1"/>
    <s v="USD"/>
    <n v="1359525600"/>
    <n v="1362808800"/>
    <b v="0"/>
    <b v="0"/>
    <s v="games/mobile games"/>
    <m/>
    <x v="6"/>
    <s v="mobile games"/>
  </r>
  <r>
    <n v="463"/>
    <s v="Mckee-Hill"/>
    <s v="Cross-platform upward-trending parallelism"/>
    <n v="134300"/>
    <n v="145265"/>
    <x v="1"/>
    <n v="2105"/>
    <x v="1"/>
    <s v="USD"/>
    <n v="1388469600"/>
    <n v="1388815200"/>
    <b v="0"/>
    <b v="0"/>
    <s v="film &amp; video/animation"/>
    <m/>
    <x v="4"/>
    <s v="animation"/>
  </r>
  <r>
    <n v="464"/>
    <s v="Gomez LLC"/>
    <s v="Pre-emptive mission-critical hardware"/>
    <n v="71200"/>
    <n v="95020"/>
    <x v="1"/>
    <n v="2436"/>
    <x v="1"/>
    <s v="USD"/>
    <n v="1518328800"/>
    <n v="1519538400"/>
    <b v="0"/>
    <b v="0"/>
    <s v="theater/plays"/>
    <m/>
    <x v="3"/>
    <s v="plays"/>
  </r>
  <r>
    <n v="465"/>
    <s v="Gonzalez-Robbins"/>
    <s v="Up-sized responsive protocol"/>
    <n v="4700"/>
    <n v="8829"/>
    <x v="1"/>
    <n v="80"/>
    <x v="1"/>
    <s v="USD"/>
    <n v="1517032800"/>
    <n v="1517810400"/>
    <b v="0"/>
    <b v="0"/>
    <s v="publishing/translations"/>
    <m/>
    <x v="5"/>
    <s v="translations"/>
  </r>
  <r>
    <n v="466"/>
    <s v="Obrien and Sons"/>
    <s v="Pre-emptive transitional frame"/>
    <n v="1200"/>
    <n v="3984"/>
    <x v="1"/>
    <n v="42"/>
    <x v="1"/>
    <s v="USD"/>
    <n v="1368594000"/>
    <n v="1370581200"/>
    <b v="0"/>
    <b v="1"/>
    <s v="technology/wearables"/>
    <m/>
    <x v="2"/>
    <s v="wearables"/>
  </r>
  <r>
    <n v="467"/>
    <s v="Shaw Ltd"/>
    <s v="Profit-focused content-based application"/>
    <n v="1400"/>
    <n v="8053"/>
    <x v="1"/>
    <n v="139"/>
    <x v="0"/>
    <s v="CAD"/>
    <n v="1448258400"/>
    <n v="1448863200"/>
    <b v="0"/>
    <b v="1"/>
    <s v="technology/web"/>
    <m/>
    <x v="2"/>
    <s v="web"/>
  </r>
  <r>
    <n v="468"/>
    <s v="Hughes Inc"/>
    <s v="Streamlined neutral analyzer"/>
    <n v="4000"/>
    <n v="1620"/>
    <x v="0"/>
    <n v="16"/>
    <x v="1"/>
    <s v="USD"/>
    <n v="1555218000"/>
    <n v="1556600400"/>
    <b v="0"/>
    <b v="0"/>
    <s v="theater/plays"/>
    <m/>
    <x v="3"/>
    <s v="plays"/>
  </r>
  <r>
    <n v="469"/>
    <s v="Olsen-Ryan"/>
    <s v="Assimilated neutral utilization"/>
    <n v="5600"/>
    <n v="10328"/>
    <x v="1"/>
    <n v="159"/>
    <x v="1"/>
    <s v="USD"/>
    <n v="1431925200"/>
    <n v="1432098000"/>
    <b v="0"/>
    <b v="0"/>
    <s v="film &amp; video/drama"/>
    <m/>
    <x v="4"/>
    <s v="drama"/>
  </r>
  <r>
    <n v="470"/>
    <s v="Grimes, Holland and Sloan"/>
    <s v="Extended dedicated archive"/>
    <n v="3600"/>
    <n v="10289"/>
    <x v="1"/>
    <n v="381"/>
    <x v="1"/>
    <s v="USD"/>
    <n v="1481522400"/>
    <n v="1482127200"/>
    <b v="0"/>
    <b v="0"/>
    <s v="technology/wearables"/>
    <m/>
    <x v="2"/>
    <s v="wearables"/>
  </r>
  <r>
    <n v="471"/>
    <s v="Perry and Sons"/>
    <s v="Configurable static help-desk"/>
    <n v="3100"/>
    <n v="9889"/>
    <x v="1"/>
    <n v="194"/>
    <x v="4"/>
    <s v="GBP"/>
    <n v="1335934800"/>
    <n v="1335934800"/>
    <b v="0"/>
    <b v="1"/>
    <s v="food/food trucks"/>
    <m/>
    <x v="0"/>
    <s v="food trucks"/>
  </r>
  <r>
    <n v="472"/>
    <s v="Turner, Young and Collins"/>
    <s v="Self-enabling clear-thinking framework"/>
    <n v="153800"/>
    <n v="60342"/>
    <x v="0"/>
    <n v="575"/>
    <x v="1"/>
    <s v="USD"/>
    <n v="1552280400"/>
    <n v="1556946000"/>
    <b v="0"/>
    <b v="0"/>
    <s v="music/rock"/>
    <m/>
    <x v="1"/>
    <s v="rock"/>
  </r>
  <r>
    <n v="473"/>
    <s v="Richardson Inc"/>
    <s v="Assimilated fault-tolerant capacity"/>
    <n v="5000"/>
    <n v="8907"/>
    <x v="1"/>
    <n v="106"/>
    <x v="1"/>
    <s v="USD"/>
    <n v="1529989200"/>
    <n v="1530075600"/>
    <b v="0"/>
    <b v="0"/>
    <s v="music/electric music"/>
    <m/>
    <x v="1"/>
    <s v="electric music"/>
  </r>
  <r>
    <n v="474"/>
    <s v="Santos-Young"/>
    <s v="Enhanced neutral ability"/>
    <n v="4000"/>
    <n v="14606"/>
    <x v="1"/>
    <n v="142"/>
    <x v="1"/>
    <s v="USD"/>
    <n v="1418709600"/>
    <n v="1418796000"/>
    <b v="0"/>
    <b v="0"/>
    <s v="film &amp; video/television"/>
    <m/>
    <x v="4"/>
    <s v="television"/>
  </r>
  <r>
    <n v="475"/>
    <s v="Nichols Ltd"/>
    <s v="Function-based attitude-oriented groupware"/>
    <n v="7400"/>
    <n v="8432"/>
    <x v="1"/>
    <n v="211"/>
    <x v="1"/>
    <s v="USD"/>
    <n v="1372136400"/>
    <n v="1372482000"/>
    <b v="0"/>
    <b v="1"/>
    <s v="publishing/translations"/>
    <m/>
    <x v="5"/>
    <s v="translations"/>
  </r>
  <r>
    <n v="476"/>
    <s v="Murphy PLC"/>
    <s v="Optional solution-oriented instruction set"/>
    <n v="191500"/>
    <n v="57122"/>
    <x v="0"/>
    <n v="1120"/>
    <x v="1"/>
    <s v="USD"/>
    <n v="1533877200"/>
    <n v="1534395600"/>
    <b v="0"/>
    <b v="0"/>
    <s v="publishing/fiction"/>
    <m/>
    <x v="5"/>
    <s v="fiction"/>
  </r>
  <r>
    <n v="477"/>
    <s v="Hogan, Porter and Rivera"/>
    <s v="Organic object-oriented core"/>
    <n v="8500"/>
    <n v="4613"/>
    <x v="0"/>
    <n v="113"/>
    <x v="1"/>
    <s v="USD"/>
    <n v="1309064400"/>
    <n v="1311397200"/>
    <b v="0"/>
    <b v="0"/>
    <s v="film &amp; video/science fiction"/>
    <m/>
    <x v="4"/>
    <s v="science fiction"/>
  </r>
  <r>
    <n v="478"/>
    <s v="Lyons LLC"/>
    <s v="Balanced impactful circuit"/>
    <n v="68800"/>
    <n v="162603"/>
    <x v="1"/>
    <n v="2756"/>
    <x v="1"/>
    <s v="USD"/>
    <n v="1425877200"/>
    <n v="1426914000"/>
    <b v="0"/>
    <b v="0"/>
    <s v="technology/wearables"/>
    <m/>
    <x v="2"/>
    <s v="wearables"/>
  </r>
  <r>
    <n v="479"/>
    <s v="Long-Greene"/>
    <s v="Future-proofed heuristic encryption"/>
    <n v="2400"/>
    <n v="12310"/>
    <x v="1"/>
    <n v="173"/>
    <x v="4"/>
    <s v="GBP"/>
    <n v="1501304400"/>
    <n v="1501477200"/>
    <b v="0"/>
    <b v="0"/>
    <s v="food/food trucks"/>
    <m/>
    <x v="0"/>
    <s v="food trucks"/>
  </r>
  <r>
    <n v="480"/>
    <s v="Robles-Hudson"/>
    <s v="Balanced bifurcated leverage"/>
    <n v="8600"/>
    <n v="8656"/>
    <x v="1"/>
    <n v="87"/>
    <x v="1"/>
    <s v="USD"/>
    <n v="1268287200"/>
    <n v="1269061200"/>
    <b v="0"/>
    <b v="1"/>
    <s v="photography/photography books"/>
    <m/>
    <x v="7"/>
    <s v="photography books"/>
  </r>
  <r>
    <n v="481"/>
    <s v="Mcclure LLC"/>
    <s v="Sharable discrete budgetary management"/>
    <n v="196600"/>
    <n v="159931"/>
    <x v="0"/>
    <n v="1538"/>
    <x v="1"/>
    <s v="USD"/>
    <n v="1412139600"/>
    <n v="1415772000"/>
    <b v="0"/>
    <b v="1"/>
    <s v="theater/plays"/>
    <m/>
    <x v="3"/>
    <s v="plays"/>
  </r>
  <r>
    <n v="482"/>
    <s v="Martin, Russell and Baker"/>
    <s v="Focused solution-oriented instruction set"/>
    <n v="4200"/>
    <n v="689"/>
    <x v="0"/>
    <n v="9"/>
    <x v="1"/>
    <s v="USD"/>
    <n v="1330063200"/>
    <n v="1331013600"/>
    <b v="0"/>
    <b v="1"/>
    <s v="publishing/fiction"/>
    <m/>
    <x v="5"/>
    <s v="fiction"/>
  </r>
  <r>
    <n v="483"/>
    <s v="Rice-Parker"/>
    <s v="Down-sized actuating infrastructure"/>
    <n v="91400"/>
    <n v="48236"/>
    <x v="0"/>
    <n v="554"/>
    <x v="1"/>
    <s v="USD"/>
    <n v="1576130400"/>
    <n v="1576735200"/>
    <b v="0"/>
    <b v="0"/>
    <s v="theater/plays"/>
    <m/>
    <x v="3"/>
    <s v="plays"/>
  </r>
  <r>
    <n v="484"/>
    <s v="Landry Inc"/>
    <s v="Synergistic cohesive adapter"/>
    <n v="29600"/>
    <n v="77021"/>
    <x v="1"/>
    <n v="1572"/>
    <x v="4"/>
    <s v="GBP"/>
    <n v="1407128400"/>
    <n v="1411362000"/>
    <b v="0"/>
    <b v="1"/>
    <s v="food/food trucks"/>
    <m/>
    <x v="0"/>
    <s v="food trucks"/>
  </r>
  <r>
    <n v="485"/>
    <s v="Richards-Davis"/>
    <s v="Quality-focused mission-critical structure"/>
    <n v="90600"/>
    <n v="27844"/>
    <x v="0"/>
    <n v="648"/>
    <x v="4"/>
    <s v="GBP"/>
    <n v="1560142800"/>
    <n v="1563685200"/>
    <b v="0"/>
    <b v="0"/>
    <s v="theater/plays"/>
    <m/>
    <x v="3"/>
    <s v="plays"/>
  </r>
  <r>
    <n v="486"/>
    <s v="Davis, Cox and Fox"/>
    <s v="Compatible exuding Graphical User Interface"/>
    <n v="5200"/>
    <n v="702"/>
    <x v="0"/>
    <n v="21"/>
    <x v="4"/>
    <s v="GBP"/>
    <n v="1520575200"/>
    <n v="1521867600"/>
    <b v="0"/>
    <b v="1"/>
    <s v="publishing/translations"/>
    <m/>
    <x v="5"/>
    <s v="translations"/>
  </r>
  <r>
    <n v="487"/>
    <s v="Smith-Wallace"/>
    <s v="Monitored 24/7 time-frame"/>
    <n v="110300"/>
    <n v="197024"/>
    <x v="1"/>
    <n v="2346"/>
    <x v="1"/>
    <s v="USD"/>
    <n v="1492664400"/>
    <n v="1495515600"/>
    <b v="0"/>
    <b v="0"/>
    <s v="theater/plays"/>
    <m/>
    <x v="3"/>
    <s v="plays"/>
  </r>
  <r>
    <n v="488"/>
    <s v="Cordova, Shaw and Wang"/>
    <s v="Virtual secondary open architecture"/>
    <n v="5300"/>
    <n v="11663"/>
    <x v="1"/>
    <n v="115"/>
    <x v="1"/>
    <s v="USD"/>
    <n v="1454479200"/>
    <n v="1455948000"/>
    <b v="0"/>
    <b v="0"/>
    <s v="theater/plays"/>
    <m/>
    <x v="3"/>
    <s v="plays"/>
  </r>
  <r>
    <n v="489"/>
    <s v="Clark Inc"/>
    <s v="Down-sized mobile time-frame"/>
    <n v="9200"/>
    <n v="9339"/>
    <x v="1"/>
    <n v="85"/>
    <x v="6"/>
    <s v="EUR"/>
    <n v="1281934800"/>
    <n v="1282366800"/>
    <b v="0"/>
    <b v="0"/>
    <s v="technology/wearables"/>
    <m/>
    <x v="2"/>
    <s v="wearables"/>
  </r>
  <r>
    <n v="490"/>
    <s v="Young and Sons"/>
    <s v="Innovative disintermediate encryption"/>
    <n v="2400"/>
    <n v="4596"/>
    <x v="1"/>
    <n v="144"/>
    <x v="1"/>
    <s v="USD"/>
    <n v="1573970400"/>
    <n v="1574575200"/>
    <b v="0"/>
    <b v="0"/>
    <s v="journalism/audio"/>
    <m/>
    <x v="8"/>
    <s v="audio"/>
  </r>
  <r>
    <n v="491"/>
    <s v="Henson PLC"/>
    <s v="Universal contextually-based knowledgebase"/>
    <n v="56800"/>
    <n v="173437"/>
    <x v="1"/>
    <n v="2443"/>
    <x v="1"/>
    <s v="USD"/>
    <n v="1372654800"/>
    <n v="1374901200"/>
    <b v="0"/>
    <b v="1"/>
    <s v="food/food trucks"/>
    <m/>
    <x v="0"/>
    <s v="food trucks"/>
  </r>
  <r>
    <n v="492"/>
    <s v="Garcia Group"/>
    <s v="Persevering interactive matrix"/>
    <n v="191000"/>
    <n v="45831"/>
    <x v="3"/>
    <n v="595"/>
    <x v="1"/>
    <s v="USD"/>
    <n v="1275886800"/>
    <n v="1278910800"/>
    <b v="1"/>
    <b v="1"/>
    <s v="film &amp; video/shorts"/>
    <m/>
    <x v="4"/>
    <s v="shorts"/>
  </r>
  <r>
    <n v="493"/>
    <s v="Adams, Walker and Wong"/>
    <s v="Seamless background framework"/>
    <n v="900"/>
    <n v="6514"/>
    <x v="1"/>
    <n v="64"/>
    <x v="1"/>
    <s v="USD"/>
    <n v="1561784400"/>
    <n v="1562907600"/>
    <b v="0"/>
    <b v="0"/>
    <s v="photography/photography books"/>
    <m/>
    <x v="7"/>
    <s v="photography books"/>
  </r>
  <r>
    <n v="494"/>
    <s v="Hopkins-Browning"/>
    <s v="Balanced upward-trending productivity"/>
    <n v="2500"/>
    <n v="13684"/>
    <x v="1"/>
    <n v="268"/>
    <x v="1"/>
    <s v="USD"/>
    <n v="1332392400"/>
    <n v="1332478800"/>
    <b v="0"/>
    <b v="0"/>
    <s v="technology/wearables"/>
    <m/>
    <x v="2"/>
    <s v="wearables"/>
  </r>
  <r>
    <n v="495"/>
    <s v="Bell, Edwards and Andersen"/>
    <s v="Centralized clear-thinking solution"/>
    <n v="3200"/>
    <n v="13264"/>
    <x v="1"/>
    <n v="195"/>
    <x v="3"/>
    <s v="DKK"/>
    <n v="1402376400"/>
    <n v="1402722000"/>
    <b v="0"/>
    <b v="0"/>
    <s v="theater/plays"/>
    <m/>
    <x v="3"/>
    <s v="plays"/>
  </r>
  <r>
    <n v="496"/>
    <s v="Morales Group"/>
    <s v="Optimized bi-directional extranet"/>
    <n v="183800"/>
    <n v="1667"/>
    <x v="0"/>
    <n v="54"/>
    <x v="1"/>
    <s v="USD"/>
    <n v="1495342800"/>
    <n v="1496811600"/>
    <b v="0"/>
    <b v="0"/>
    <s v="film &amp; video/animation"/>
    <m/>
    <x v="4"/>
    <s v="animation"/>
  </r>
  <r>
    <n v="497"/>
    <s v="Lucero Group"/>
    <s v="Intuitive actuating benchmark"/>
    <n v="9800"/>
    <n v="3349"/>
    <x v="0"/>
    <n v="120"/>
    <x v="1"/>
    <s v="USD"/>
    <n v="1482213600"/>
    <n v="1482213600"/>
    <b v="0"/>
    <b v="1"/>
    <s v="technology/wearables"/>
    <m/>
    <x v="2"/>
    <s v="wearables"/>
  </r>
  <r>
    <n v="498"/>
    <s v="Smith, Brown and Davis"/>
    <s v="Devolved background project"/>
    <n v="193400"/>
    <n v="46317"/>
    <x v="0"/>
    <n v="579"/>
    <x v="3"/>
    <s v="DKK"/>
    <n v="1420092000"/>
    <n v="1420264800"/>
    <b v="0"/>
    <b v="0"/>
    <s v="technology/web"/>
    <m/>
    <x v="2"/>
    <s v="web"/>
  </r>
  <r>
    <n v="499"/>
    <s v="Hunt Group"/>
    <s v="Reverse-engineered executive emulation"/>
    <n v="163800"/>
    <n v="78743"/>
    <x v="0"/>
    <n v="2072"/>
    <x v="1"/>
    <s v="USD"/>
    <n v="1458018000"/>
    <n v="1458450000"/>
    <b v="0"/>
    <b v="1"/>
    <s v="film &amp; video/documentary"/>
    <m/>
    <x v="4"/>
    <s v="documentary"/>
  </r>
  <r>
    <n v="500"/>
    <s v="Valdez Ltd"/>
    <s v="Team-oriented clear-thinking matrix"/>
    <n v="100"/>
    <n v="0"/>
    <x v="0"/>
    <n v="0"/>
    <x v="1"/>
    <s v="USD"/>
    <n v="1367384400"/>
    <n v="1369803600"/>
    <b v="0"/>
    <b v="1"/>
    <s v="theater/plays"/>
    <m/>
    <x v="3"/>
    <s v="plays"/>
  </r>
  <r>
    <n v="501"/>
    <s v="Mccann-Le"/>
    <s v="Focused coherent methodology"/>
    <n v="153600"/>
    <n v="107743"/>
    <x v="0"/>
    <n v="1796"/>
    <x v="1"/>
    <s v="USD"/>
    <n v="1363064400"/>
    <n v="1363237200"/>
    <b v="0"/>
    <b v="0"/>
    <s v="film &amp; video/documentary"/>
    <m/>
    <x v="4"/>
    <s v="documentary"/>
  </r>
  <r>
    <n v="502"/>
    <s v="Johnson Inc"/>
    <s v="Reduced context-sensitive complexity"/>
    <n v="1300"/>
    <n v="6889"/>
    <x v="1"/>
    <n v="186"/>
    <x v="2"/>
    <s v="AUD"/>
    <n v="1343365200"/>
    <n v="1345870800"/>
    <b v="0"/>
    <b v="1"/>
    <s v="games/video games"/>
    <m/>
    <x v="6"/>
    <s v="video games"/>
  </r>
  <r>
    <n v="503"/>
    <s v="Collins LLC"/>
    <s v="Decentralized 4thgeneration time-frame"/>
    <n v="25500"/>
    <n v="45983"/>
    <x v="1"/>
    <n v="460"/>
    <x v="1"/>
    <s v="USD"/>
    <n v="1435726800"/>
    <n v="1437454800"/>
    <b v="0"/>
    <b v="0"/>
    <s v="film &amp; video/drama"/>
    <m/>
    <x v="4"/>
    <s v="drama"/>
  </r>
  <r>
    <n v="504"/>
    <s v="Smith-Miller"/>
    <s v="De-engineered cohesive moderator"/>
    <n v="7500"/>
    <n v="6924"/>
    <x v="0"/>
    <n v="62"/>
    <x v="6"/>
    <s v="EUR"/>
    <n v="1431925200"/>
    <n v="1432011600"/>
    <b v="0"/>
    <b v="0"/>
    <s v="music/rock"/>
    <m/>
    <x v="1"/>
    <s v="rock"/>
  </r>
  <r>
    <n v="505"/>
    <s v="Jensen-Vargas"/>
    <s v="Ameliorated explicit parallelism"/>
    <n v="89900"/>
    <n v="12497"/>
    <x v="0"/>
    <n v="347"/>
    <x v="1"/>
    <s v="USD"/>
    <n v="1362722400"/>
    <n v="1366347600"/>
    <b v="0"/>
    <b v="1"/>
    <s v="publishing/radio &amp; podcasts"/>
    <m/>
    <x v="5"/>
    <s v="radio &amp; podcasts"/>
  </r>
  <r>
    <n v="506"/>
    <s v="Robles, Bell and Gonzalez"/>
    <s v="Customizable background monitoring"/>
    <n v="18000"/>
    <n v="166874"/>
    <x v="1"/>
    <n v="2528"/>
    <x v="1"/>
    <s v="USD"/>
    <n v="1511416800"/>
    <n v="1512885600"/>
    <b v="0"/>
    <b v="1"/>
    <s v="theater/plays"/>
    <m/>
    <x v="3"/>
    <s v="plays"/>
  </r>
  <r>
    <n v="507"/>
    <s v="Turner, Miller and Francis"/>
    <s v="Compatible well-modulated budgetary management"/>
    <n v="2100"/>
    <n v="837"/>
    <x v="0"/>
    <n v="19"/>
    <x v="1"/>
    <s v="USD"/>
    <n v="1365483600"/>
    <n v="1369717200"/>
    <b v="0"/>
    <b v="1"/>
    <s v="technology/web"/>
    <m/>
    <x v="2"/>
    <s v="web"/>
  </r>
  <r>
    <n v="508"/>
    <s v="Roberts Group"/>
    <s v="Up-sized radical pricing structure"/>
    <n v="172700"/>
    <n v="193820"/>
    <x v="1"/>
    <n v="3657"/>
    <x v="1"/>
    <s v="USD"/>
    <n v="1532840400"/>
    <n v="1534654800"/>
    <b v="0"/>
    <b v="0"/>
    <s v="theater/plays"/>
    <m/>
    <x v="3"/>
    <s v="plays"/>
  </r>
  <r>
    <n v="509"/>
    <s v="White LLC"/>
    <s v="Robust zero-defect project"/>
    <n v="168500"/>
    <n v="119510"/>
    <x v="0"/>
    <n v="1258"/>
    <x v="1"/>
    <s v="USD"/>
    <n v="1336194000"/>
    <n v="1337058000"/>
    <b v="0"/>
    <b v="0"/>
    <s v="theater/plays"/>
    <m/>
    <x v="3"/>
    <s v="plays"/>
  </r>
  <r>
    <n v="510"/>
    <s v="Best, Miller and Thomas"/>
    <s v="Re-engineered mobile task-force"/>
    <n v="7800"/>
    <n v="9289"/>
    <x v="1"/>
    <n v="131"/>
    <x v="2"/>
    <s v="AUD"/>
    <n v="1527742800"/>
    <n v="1529816400"/>
    <b v="0"/>
    <b v="0"/>
    <s v="film &amp; video/drama"/>
    <m/>
    <x v="4"/>
    <s v="drama"/>
  </r>
  <r>
    <n v="511"/>
    <s v="Smith-Mullins"/>
    <s v="User-centric intangible neural-net"/>
    <n v="147800"/>
    <n v="35498"/>
    <x v="0"/>
    <n v="362"/>
    <x v="1"/>
    <s v="USD"/>
    <n v="1564030800"/>
    <n v="1564894800"/>
    <b v="0"/>
    <b v="0"/>
    <s v="theater/plays"/>
    <m/>
    <x v="3"/>
    <s v="plays"/>
  </r>
  <r>
    <n v="512"/>
    <s v="Williams-Walsh"/>
    <s v="Organized explicit core"/>
    <n v="9100"/>
    <n v="12678"/>
    <x v="1"/>
    <n v="239"/>
    <x v="1"/>
    <s v="USD"/>
    <n v="1404536400"/>
    <n v="1404622800"/>
    <b v="0"/>
    <b v="1"/>
    <s v="games/video games"/>
    <m/>
    <x v="6"/>
    <s v="video games"/>
  </r>
  <r>
    <n v="513"/>
    <s v="Harrison, Blackwell and Mendez"/>
    <s v="Synchronized 6thgeneration adapter"/>
    <n v="8300"/>
    <n v="3260"/>
    <x v="3"/>
    <n v="35"/>
    <x v="1"/>
    <s v="USD"/>
    <n v="1284008400"/>
    <n v="1284181200"/>
    <b v="0"/>
    <b v="0"/>
    <s v="film &amp; video/television"/>
    <m/>
    <x v="4"/>
    <s v="television"/>
  </r>
  <r>
    <n v="514"/>
    <s v="Sanchez, Bradley and Flores"/>
    <s v="Centralized motivating capacity"/>
    <n v="138700"/>
    <n v="31123"/>
    <x v="3"/>
    <n v="528"/>
    <x v="5"/>
    <s v="CHF"/>
    <n v="1386309600"/>
    <n v="1386741600"/>
    <b v="0"/>
    <b v="1"/>
    <s v="music/rock"/>
    <m/>
    <x v="1"/>
    <s v="rock"/>
  </r>
  <r>
    <n v="515"/>
    <s v="Cox LLC"/>
    <s v="Phased 24hour flexibility"/>
    <n v="8600"/>
    <n v="4797"/>
    <x v="0"/>
    <n v="133"/>
    <x v="0"/>
    <s v="CAD"/>
    <n v="1324620000"/>
    <n v="1324792800"/>
    <b v="0"/>
    <b v="1"/>
    <s v="theater/plays"/>
    <m/>
    <x v="3"/>
    <s v="plays"/>
  </r>
  <r>
    <n v="516"/>
    <s v="Morales-Odonnell"/>
    <s v="Exclusive 5thgeneration structure"/>
    <n v="125400"/>
    <n v="53324"/>
    <x v="0"/>
    <n v="846"/>
    <x v="1"/>
    <s v="USD"/>
    <n v="1281070800"/>
    <n v="1284354000"/>
    <b v="0"/>
    <b v="0"/>
    <s v="publishing/nonfiction"/>
    <m/>
    <x v="5"/>
    <s v="nonfiction"/>
  </r>
  <r>
    <n v="517"/>
    <s v="Ramirez LLC"/>
    <s v="Multi-tiered maximized orchestration"/>
    <n v="5900"/>
    <n v="6608"/>
    <x v="1"/>
    <n v="78"/>
    <x v="1"/>
    <s v="USD"/>
    <n v="1493960400"/>
    <n v="1494392400"/>
    <b v="0"/>
    <b v="0"/>
    <s v="food/food trucks"/>
    <m/>
    <x v="0"/>
    <s v="food trucks"/>
  </r>
  <r>
    <n v="518"/>
    <s v="Ramirez Group"/>
    <s v="Open-architected uniform instruction set"/>
    <n v="8800"/>
    <n v="622"/>
    <x v="0"/>
    <n v="10"/>
    <x v="1"/>
    <s v="USD"/>
    <n v="1519365600"/>
    <n v="1519538400"/>
    <b v="0"/>
    <b v="1"/>
    <s v="film &amp; video/animation"/>
    <m/>
    <x v="4"/>
    <s v="animation"/>
  </r>
  <r>
    <n v="519"/>
    <s v="Marsh-Coleman"/>
    <s v="Exclusive asymmetric analyzer"/>
    <n v="177700"/>
    <n v="180802"/>
    <x v="1"/>
    <n v="1773"/>
    <x v="1"/>
    <s v="USD"/>
    <n v="1420696800"/>
    <n v="1421906400"/>
    <b v="0"/>
    <b v="1"/>
    <s v="music/rock"/>
    <m/>
    <x v="1"/>
    <s v="rock"/>
  </r>
  <r>
    <n v="520"/>
    <s v="Frederick, Jenkins and Collins"/>
    <s v="Organic radical collaboration"/>
    <n v="800"/>
    <n v="3406"/>
    <x v="1"/>
    <n v="32"/>
    <x v="1"/>
    <s v="USD"/>
    <n v="1555650000"/>
    <n v="1555909200"/>
    <b v="0"/>
    <b v="0"/>
    <s v="theater/plays"/>
    <m/>
    <x v="3"/>
    <s v="plays"/>
  </r>
  <r>
    <n v="521"/>
    <s v="Wilson Ltd"/>
    <s v="Function-based multi-state software"/>
    <n v="7600"/>
    <n v="11061"/>
    <x v="1"/>
    <n v="369"/>
    <x v="1"/>
    <s v="USD"/>
    <n v="1471928400"/>
    <n v="1472446800"/>
    <b v="0"/>
    <b v="1"/>
    <s v="film &amp; video/drama"/>
    <m/>
    <x v="4"/>
    <s v="drama"/>
  </r>
  <r>
    <n v="522"/>
    <s v="Cline, Peterson and Lowery"/>
    <s v="Innovative static budgetary management"/>
    <n v="50500"/>
    <n v="16389"/>
    <x v="0"/>
    <n v="191"/>
    <x v="1"/>
    <s v="USD"/>
    <n v="1341291600"/>
    <n v="1342328400"/>
    <b v="0"/>
    <b v="0"/>
    <s v="film &amp; video/shorts"/>
    <m/>
    <x v="4"/>
    <s v="shorts"/>
  </r>
  <r>
    <n v="523"/>
    <s v="Underwood, James and Jones"/>
    <s v="Triple-buffered holistic ability"/>
    <n v="900"/>
    <n v="6303"/>
    <x v="1"/>
    <n v="89"/>
    <x v="1"/>
    <s v="USD"/>
    <n v="1267682400"/>
    <n v="1268114400"/>
    <b v="0"/>
    <b v="0"/>
    <s v="film &amp; video/shorts"/>
    <m/>
    <x v="4"/>
    <s v="shorts"/>
  </r>
  <r>
    <n v="524"/>
    <s v="Johnson-Contreras"/>
    <s v="Diverse scalable superstructure"/>
    <n v="96700"/>
    <n v="81136"/>
    <x v="0"/>
    <n v="1979"/>
    <x v="1"/>
    <s v="USD"/>
    <n v="1272258000"/>
    <n v="1273381200"/>
    <b v="0"/>
    <b v="0"/>
    <s v="theater/plays"/>
    <m/>
    <x v="3"/>
    <s v="plays"/>
  </r>
  <r>
    <n v="525"/>
    <s v="Greene, Lloyd and Sims"/>
    <s v="Balanced leadingedge data-warehouse"/>
    <n v="2100"/>
    <n v="1768"/>
    <x v="0"/>
    <n v="63"/>
    <x v="1"/>
    <s v="USD"/>
    <n v="1290492000"/>
    <n v="1290837600"/>
    <b v="0"/>
    <b v="0"/>
    <s v="technology/wearables"/>
    <m/>
    <x v="2"/>
    <s v="wearables"/>
  </r>
  <r>
    <n v="526"/>
    <s v="Smith-Sparks"/>
    <s v="Digitized bandwidth-monitored open architecture"/>
    <n v="8300"/>
    <n v="12944"/>
    <x v="1"/>
    <n v="147"/>
    <x v="1"/>
    <s v="USD"/>
    <n v="1451109600"/>
    <n v="1454306400"/>
    <b v="0"/>
    <b v="1"/>
    <s v="theater/plays"/>
    <m/>
    <x v="3"/>
    <s v="plays"/>
  </r>
  <r>
    <n v="527"/>
    <s v="Rosario-Smith"/>
    <s v="Enterprise-wide intermediate portal"/>
    <n v="189200"/>
    <n v="188480"/>
    <x v="0"/>
    <n v="6080"/>
    <x v="0"/>
    <s v="CAD"/>
    <n v="1454652000"/>
    <n v="1457762400"/>
    <b v="0"/>
    <b v="0"/>
    <s v="film &amp; video/animation"/>
    <m/>
    <x v="4"/>
    <s v="animation"/>
  </r>
  <r>
    <n v="528"/>
    <s v="Avila, Ford and Welch"/>
    <s v="Focused leadingedge matrix"/>
    <n v="9000"/>
    <n v="7227"/>
    <x v="0"/>
    <n v="80"/>
    <x v="4"/>
    <s v="GBP"/>
    <n v="1385186400"/>
    <n v="1389074400"/>
    <b v="0"/>
    <b v="0"/>
    <s v="music/indie rock"/>
    <m/>
    <x v="1"/>
    <s v="indie rock"/>
  </r>
  <r>
    <n v="529"/>
    <s v="Gallegos Inc"/>
    <s v="Seamless logistical encryption"/>
    <n v="5100"/>
    <n v="574"/>
    <x v="0"/>
    <n v="9"/>
    <x v="1"/>
    <s v="USD"/>
    <n v="1399698000"/>
    <n v="1402117200"/>
    <b v="0"/>
    <b v="0"/>
    <s v="games/video games"/>
    <m/>
    <x v="6"/>
    <s v="video games"/>
  </r>
  <r>
    <n v="530"/>
    <s v="Morrow, Santiago and Soto"/>
    <s v="Stand-alone human-resource workforce"/>
    <n v="105000"/>
    <n v="96328"/>
    <x v="0"/>
    <n v="1784"/>
    <x v="1"/>
    <s v="USD"/>
    <n v="1283230800"/>
    <n v="1284440400"/>
    <b v="0"/>
    <b v="1"/>
    <s v="publishing/fiction"/>
    <m/>
    <x v="5"/>
    <s v="fiction"/>
  </r>
  <r>
    <n v="531"/>
    <s v="Berry-Richardson"/>
    <s v="Automated zero tolerance implementation"/>
    <n v="186700"/>
    <n v="178338"/>
    <x v="2"/>
    <n v="3640"/>
    <x v="5"/>
    <s v="CHF"/>
    <n v="1384149600"/>
    <n v="1388988000"/>
    <b v="0"/>
    <b v="0"/>
    <s v="games/video games"/>
    <m/>
    <x v="6"/>
    <s v="video games"/>
  </r>
  <r>
    <n v="532"/>
    <s v="Cordova-Torres"/>
    <s v="Pre-emptive grid-enabled contingency"/>
    <n v="1600"/>
    <n v="8046"/>
    <x v="1"/>
    <n v="126"/>
    <x v="0"/>
    <s v="CAD"/>
    <n v="1516860000"/>
    <n v="1516946400"/>
    <b v="0"/>
    <b v="0"/>
    <s v="theater/plays"/>
    <m/>
    <x v="3"/>
    <s v="plays"/>
  </r>
  <r>
    <n v="533"/>
    <s v="Holt, Bernard and Johnson"/>
    <s v="Multi-lateral didactic encoding"/>
    <n v="115600"/>
    <n v="184086"/>
    <x v="1"/>
    <n v="2218"/>
    <x v="4"/>
    <s v="GBP"/>
    <n v="1374642000"/>
    <n v="1377752400"/>
    <b v="0"/>
    <b v="0"/>
    <s v="music/indie rock"/>
    <m/>
    <x v="1"/>
    <s v="indie rock"/>
  </r>
  <r>
    <n v="534"/>
    <s v="Clark, Mccormick and Mendoza"/>
    <s v="Self-enabling didactic orchestration"/>
    <n v="89100"/>
    <n v="13385"/>
    <x v="0"/>
    <n v="243"/>
    <x v="1"/>
    <s v="USD"/>
    <n v="1534482000"/>
    <n v="1534568400"/>
    <b v="0"/>
    <b v="1"/>
    <s v="film &amp; video/drama"/>
    <m/>
    <x v="4"/>
    <s v="drama"/>
  </r>
  <r>
    <n v="535"/>
    <s v="Garrison LLC"/>
    <s v="Profit-focused 24/7 data-warehouse"/>
    <n v="2600"/>
    <n v="12533"/>
    <x v="1"/>
    <n v="202"/>
    <x v="6"/>
    <s v="EUR"/>
    <n v="1528434000"/>
    <n v="1528606800"/>
    <b v="0"/>
    <b v="1"/>
    <s v="theater/plays"/>
    <m/>
    <x v="3"/>
    <s v="plays"/>
  </r>
  <r>
    <n v="536"/>
    <s v="Shannon-Olson"/>
    <s v="Enhanced methodical middleware"/>
    <n v="9800"/>
    <n v="14697"/>
    <x v="1"/>
    <n v="140"/>
    <x v="6"/>
    <s v="EUR"/>
    <n v="1282626000"/>
    <n v="1284872400"/>
    <b v="0"/>
    <b v="0"/>
    <s v="publishing/fiction"/>
    <m/>
    <x v="5"/>
    <s v="fiction"/>
  </r>
  <r>
    <n v="537"/>
    <s v="Murillo-Mcfarland"/>
    <s v="Synchronized client-driven projection"/>
    <n v="84400"/>
    <n v="98935"/>
    <x v="1"/>
    <n v="1052"/>
    <x v="3"/>
    <s v="DKK"/>
    <n v="1535605200"/>
    <n v="1537592400"/>
    <b v="1"/>
    <b v="1"/>
    <s v="film &amp; video/documentary"/>
    <m/>
    <x v="4"/>
    <s v="documentary"/>
  </r>
  <r>
    <n v="538"/>
    <s v="Young, Gilbert and Escobar"/>
    <s v="Networked didactic time-frame"/>
    <n v="151300"/>
    <n v="57034"/>
    <x v="0"/>
    <n v="1296"/>
    <x v="1"/>
    <s v="USD"/>
    <n v="1379826000"/>
    <n v="1381208400"/>
    <b v="0"/>
    <b v="0"/>
    <s v="games/mobile games"/>
    <m/>
    <x v="6"/>
    <s v="mobile games"/>
  </r>
  <r>
    <n v="539"/>
    <s v="Thomas, Welch and Santana"/>
    <s v="Assimilated exuding toolset"/>
    <n v="9800"/>
    <n v="7120"/>
    <x v="0"/>
    <n v="77"/>
    <x v="1"/>
    <s v="USD"/>
    <n v="1561957200"/>
    <n v="1562475600"/>
    <b v="0"/>
    <b v="1"/>
    <s v="food/food trucks"/>
    <m/>
    <x v="0"/>
    <s v="food trucks"/>
  </r>
  <r>
    <n v="540"/>
    <s v="Brown-Pena"/>
    <s v="Front-line client-server secured line"/>
    <n v="5300"/>
    <n v="14097"/>
    <x v="1"/>
    <n v="247"/>
    <x v="1"/>
    <s v="USD"/>
    <n v="1525496400"/>
    <n v="1527397200"/>
    <b v="0"/>
    <b v="0"/>
    <s v="photography/photography books"/>
    <m/>
    <x v="7"/>
    <s v="photography books"/>
  </r>
  <r>
    <n v="541"/>
    <s v="Holder, Caldwell and Vance"/>
    <s v="Polarized systemic Internet solution"/>
    <n v="178000"/>
    <n v="43086"/>
    <x v="0"/>
    <n v="395"/>
    <x v="6"/>
    <s v="EUR"/>
    <n v="1433912400"/>
    <n v="1436158800"/>
    <b v="0"/>
    <b v="0"/>
    <s v="games/mobile games"/>
    <m/>
    <x v="6"/>
    <s v="mobile games"/>
  </r>
  <r>
    <n v="542"/>
    <s v="Harrison-Bridges"/>
    <s v="Profit-focused exuding moderator"/>
    <n v="77000"/>
    <n v="1930"/>
    <x v="0"/>
    <n v="49"/>
    <x v="4"/>
    <s v="GBP"/>
    <n v="1453442400"/>
    <n v="1456034400"/>
    <b v="0"/>
    <b v="0"/>
    <s v="music/indie rock"/>
    <m/>
    <x v="1"/>
    <s v="indie rock"/>
  </r>
  <r>
    <n v="543"/>
    <s v="Johnson, Murphy and Peterson"/>
    <s v="Cross-group high-level moderator"/>
    <n v="84900"/>
    <n v="13864"/>
    <x v="0"/>
    <n v="180"/>
    <x v="1"/>
    <s v="USD"/>
    <n v="1378875600"/>
    <n v="1380171600"/>
    <b v="0"/>
    <b v="0"/>
    <s v="games/video games"/>
    <m/>
    <x v="6"/>
    <s v="video games"/>
  </r>
  <r>
    <n v="544"/>
    <s v="Taylor Inc"/>
    <s v="Public-key 3rdgeneration system engine"/>
    <n v="2800"/>
    <n v="7742"/>
    <x v="1"/>
    <n v="84"/>
    <x v="1"/>
    <s v="USD"/>
    <n v="1452232800"/>
    <n v="1453356000"/>
    <b v="0"/>
    <b v="0"/>
    <s v="music/rock"/>
    <m/>
    <x v="1"/>
    <s v="rock"/>
  </r>
  <r>
    <n v="545"/>
    <s v="Deleon and Sons"/>
    <s v="Organized value-added access"/>
    <n v="184800"/>
    <n v="164109"/>
    <x v="0"/>
    <n v="2690"/>
    <x v="1"/>
    <s v="USD"/>
    <n v="1577253600"/>
    <n v="1578981600"/>
    <b v="0"/>
    <b v="0"/>
    <s v="theater/plays"/>
    <m/>
    <x v="3"/>
    <s v="plays"/>
  </r>
  <r>
    <n v="546"/>
    <s v="Benjamin, Paul and Ferguson"/>
    <s v="Cloned global Graphical User Interface"/>
    <n v="4200"/>
    <n v="6870"/>
    <x v="1"/>
    <n v="88"/>
    <x v="1"/>
    <s v="USD"/>
    <n v="1537160400"/>
    <n v="1537419600"/>
    <b v="0"/>
    <b v="1"/>
    <s v="theater/plays"/>
    <m/>
    <x v="3"/>
    <s v="plays"/>
  </r>
  <r>
    <n v="547"/>
    <s v="Hardin-Dixon"/>
    <s v="Focused solution-oriented matrix"/>
    <n v="1300"/>
    <n v="12597"/>
    <x v="1"/>
    <n v="156"/>
    <x v="1"/>
    <s v="USD"/>
    <n v="1422165600"/>
    <n v="1423202400"/>
    <b v="0"/>
    <b v="0"/>
    <s v="film &amp; video/drama"/>
    <m/>
    <x v="4"/>
    <s v="drama"/>
  </r>
  <r>
    <n v="548"/>
    <s v="York-Pitts"/>
    <s v="Monitored discrete toolset"/>
    <n v="66100"/>
    <n v="179074"/>
    <x v="1"/>
    <n v="2985"/>
    <x v="1"/>
    <s v="USD"/>
    <n v="1459486800"/>
    <n v="1460610000"/>
    <b v="0"/>
    <b v="0"/>
    <s v="theater/plays"/>
    <m/>
    <x v="3"/>
    <s v="plays"/>
  </r>
  <r>
    <n v="549"/>
    <s v="Jarvis and Sons"/>
    <s v="Business-focused intermediate system engine"/>
    <n v="29500"/>
    <n v="83843"/>
    <x v="1"/>
    <n v="762"/>
    <x v="1"/>
    <s v="USD"/>
    <n v="1369717200"/>
    <n v="1370494800"/>
    <b v="0"/>
    <b v="0"/>
    <s v="technology/wearables"/>
    <m/>
    <x v="2"/>
    <s v="wearables"/>
  </r>
  <r>
    <n v="550"/>
    <s v="Morrison-Henderson"/>
    <s v="De-engineered disintermediate encoding"/>
    <n v="100"/>
    <n v="4"/>
    <x v="3"/>
    <n v="1"/>
    <x v="5"/>
    <s v="CHF"/>
    <n v="1330495200"/>
    <n v="1332306000"/>
    <b v="0"/>
    <b v="0"/>
    <s v="music/indie rock"/>
    <m/>
    <x v="1"/>
    <s v="indie rock"/>
  </r>
  <r>
    <n v="551"/>
    <s v="Martin-James"/>
    <s v="Streamlined upward-trending analyzer"/>
    <n v="180100"/>
    <n v="105598"/>
    <x v="0"/>
    <n v="2779"/>
    <x v="2"/>
    <s v="AUD"/>
    <n v="1419055200"/>
    <n v="1422511200"/>
    <b v="0"/>
    <b v="1"/>
    <s v="technology/web"/>
    <m/>
    <x v="2"/>
    <s v="web"/>
  </r>
  <r>
    <n v="552"/>
    <s v="Mercer, Solomon and Singleton"/>
    <s v="Distributed human-resource policy"/>
    <n v="9000"/>
    <n v="8866"/>
    <x v="0"/>
    <n v="92"/>
    <x v="1"/>
    <s v="USD"/>
    <n v="1480140000"/>
    <n v="1480312800"/>
    <b v="0"/>
    <b v="0"/>
    <s v="theater/plays"/>
    <m/>
    <x v="3"/>
    <s v="plays"/>
  </r>
  <r>
    <n v="553"/>
    <s v="Dougherty, Austin and Mills"/>
    <s v="De-engineered 5thgeneration contingency"/>
    <n v="170600"/>
    <n v="75022"/>
    <x v="0"/>
    <n v="1028"/>
    <x v="1"/>
    <s v="USD"/>
    <n v="1293948000"/>
    <n v="1294034400"/>
    <b v="0"/>
    <b v="0"/>
    <s v="music/rock"/>
    <m/>
    <x v="1"/>
    <s v="rock"/>
  </r>
  <r>
    <n v="554"/>
    <s v="Ritter PLC"/>
    <s v="Multi-channeled upward-trending application"/>
    <n v="9500"/>
    <n v="14408"/>
    <x v="1"/>
    <n v="554"/>
    <x v="0"/>
    <s v="CAD"/>
    <n v="1482127200"/>
    <n v="1482645600"/>
    <b v="0"/>
    <b v="0"/>
    <s v="music/indie rock"/>
    <m/>
    <x v="1"/>
    <s v="indie rock"/>
  </r>
  <r>
    <n v="555"/>
    <s v="Anderson Group"/>
    <s v="Organic maximized database"/>
    <n v="6300"/>
    <n v="14089"/>
    <x v="1"/>
    <n v="135"/>
    <x v="3"/>
    <s v="DKK"/>
    <n v="1396414800"/>
    <n v="1399093200"/>
    <b v="0"/>
    <b v="0"/>
    <s v="music/rock"/>
    <m/>
    <x v="1"/>
    <s v="rock"/>
  </r>
  <r>
    <n v="556"/>
    <s v="Smith and Sons"/>
    <s v="Grass-roots 24/7 attitude"/>
    <n v="5200"/>
    <n v="12467"/>
    <x v="1"/>
    <n v="122"/>
    <x v="1"/>
    <s v="USD"/>
    <n v="1315285200"/>
    <n v="1315890000"/>
    <b v="0"/>
    <b v="1"/>
    <s v="publishing/translations"/>
    <m/>
    <x v="5"/>
    <s v="translations"/>
  </r>
  <r>
    <n v="557"/>
    <s v="Lam-Hamilton"/>
    <s v="Team-oriented global strategy"/>
    <n v="6000"/>
    <n v="11960"/>
    <x v="1"/>
    <n v="221"/>
    <x v="1"/>
    <s v="USD"/>
    <n v="1443762000"/>
    <n v="1444021200"/>
    <b v="0"/>
    <b v="1"/>
    <s v="film &amp; video/science fiction"/>
    <m/>
    <x v="4"/>
    <s v="science fiction"/>
  </r>
  <r>
    <n v="558"/>
    <s v="Ho Ltd"/>
    <s v="Enhanced client-driven capacity"/>
    <n v="5800"/>
    <n v="7966"/>
    <x v="1"/>
    <n v="126"/>
    <x v="1"/>
    <s v="USD"/>
    <n v="1456293600"/>
    <n v="1460005200"/>
    <b v="0"/>
    <b v="0"/>
    <s v="theater/plays"/>
    <m/>
    <x v="3"/>
    <s v="plays"/>
  </r>
  <r>
    <n v="559"/>
    <s v="Brown, Estrada and Jensen"/>
    <s v="Exclusive systematic productivity"/>
    <n v="105300"/>
    <n v="106321"/>
    <x v="1"/>
    <n v="1022"/>
    <x v="1"/>
    <s v="USD"/>
    <n v="1470114000"/>
    <n v="1470718800"/>
    <b v="0"/>
    <b v="0"/>
    <s v="theater/plays"/>
    <m/>
    <x v="3"/>
    <s v="plays"/>
  </r>
  <r>
    <n v="560"/>
    <s v="Hunt LLC"/>
    <s v="Re-engineered radical policy"/>
    <n v="20000"/>
    <n v="158832"/>
    <x v="1"/>
    <n v="3177"/>
    <x v="1"/>
    <s v="USD"/>
    <n v="1321596000"/>
    <n v="1325052000"/>
    <b v="0"/>
    <b v="0"/>
    <s v="film &amp; video/animation"/>
    <m/>
    <x v="4"/>
    <s v="animation"/>
  </r>
  <r>
    <n v="561"/>
    <s v="Fowler-Smith"/>
    <s v="Down-sized logistical adapter"/>
    <n v="3000"/>
    <n v="11091"/>
    <x v="1"/>
    <n v="198"/>
    <x v="5"/>
    <s v="CHF"/>
    <n v="1318827600"/>
    <n v="1319000400"/>
    <b v="0"/>
    <b v="0"/>
    <s v="theater/plays"/>
    <m/>
    <x v="3"/>
    <s v="plays"/>
  </r>
  <r>
    <n v="562"/>
    <s v="Blair Inc"/>
    <s v="Configurable bandwidth-monitored throughput"/>
    <n v="9900"/>
    <n v="1269"/>
    <x v="0"/>
    <n v="26"/>
    <x v="5"/>
    <s v="CHF"/>
    <n v="1552366800"/>
    <n v="1552539600"/>
    <b v="0"/>
    <b v="0"/>
    <s v="music/rock"/>
    <m/>
    <x v="1"/>
    <s v="rock"/>
  </r>
  <r>
    <n v="563"/>
    <s v="Kelley, Stanton and Sanchez"/>
    <s v="Optional tangible pricing structure"/>
    <n v="3700"/>
    <n v="5107"/>
    <x v="1"/>
    <n v="85"/>
    <x v="2"/>
    <s v="AUD"/>
    <n v="1542088800"/>
    <n v="1543816800"/>
    <b v="0"/>
    <b v="0"/>
    <s v="film &amp; video/documentary"/>
    <m/>
    <x v="4"/>
    <s v="documentary"/>
  </r>
  <r>
    <n v="564"/>
    <s v="Hernandez-Macdonald"/>
    <s v="Organic high-level implementation"/>
    <n v="168700"/>
    <n v="141393"/>
    <x v="0"/>
    <n v="1790"/>
    <x v="1"/>
    <s v="USD"/>
    <n v="1426395600"/>
    <n v="1427086800"/>
    <b v="0"/>
    <b v="0"/>
    <s v="theater/plays"/>
    <m/>
    <x v="3"/>
    <s v="plays"/>
  </r>
  <r>
    <n v="565"/>
    <s v="Joseph LLC"/>
    <s v="Decentralized logistical collaboration"/>
    <n v="94900"/>
    <n v="194166"/>
    <x v="1"/>
    <n v="3596"/>
    <x v="1"/>
    <s v="USD"/>
    <n v="1321336800"/>
    <n v="1323064800"/>
    <b v="0"/>
    <b v="0"/>
    <s v="theater/plays"/>
    <m/>
    <x v="3"/>
    <s v="plays"/>
  </r>
  <r>
    <n v="566"/>
    <s v="Webb-Smith"/>
    <s v="Advanced content-based installation"/>
    <n v="9300"/>
    <n v="4124"/>
    <x v="0"/>
    <n v="37"/>
    <x v="1"/>
    <s v="USD"/>
    <n v="1456293600"/>
    <n v="1458277200"/>
    <b v="0"/>
    <b v="1"/>
    <s v="music/electric music"/>
    <m/>
    <x v="1"/>
    <s v="electric music"/>
  </r>
  <r>
    <n v="567"/>
    <s v="Johns PLC"/>
    <s v="Distributed high-level open architecture"/>
    <n v="6800"/>
    <n v="14865"/>
    <x v="1"/>
    <n v="244"/>
    <x v="1"/>
    <s v="USD"/>
    <n v="1404968400"/>
    <n v="1405141200"/>
    <b v="0"/>
    <b v="0"/>
    <s v="music/rock"/>
    <m/>
    <x v="1"/>
    <s v="rock"/>
  </r>
  <r>
    <n v="568"/>
    <s v="Hardin-Foley"/>
    <s v="Synergized zero tolerance help-desk"/>
    <n v="72400"/>
    <n v="134688"/>
    <x v="1"/>
    <n v="5180"/>
    <x v="1"/>
    <s v="USD"/>
    <n v="1279170000"/>
    <n v="1283058000"/>
    <b v="0"/>
    <b v="0"/>
    <s v="theater/plays"/>
    <m/>
    <x v="3"/>
    <s v="plays"/>
  </r>
  <r>
    <n v="569"/>
    <s v="Fischer, Fowler and Arnold"/>
    <s v="Extended multi-tasking definition"/>
    <n v="20100"/>
    <n v="47705"/>
    <x v="1"/>
    <n v="589"/>
    <x v="6"/>
    <s v="EUR"/>
    <n v="1294725600"/>
    <n v="1295762400"/>
    <b v="0"/>
    <b v="0"/>
    <s v="film &amp; video/animation"/>
    <m/>
    <x v="4"/>
    <s v="animation"/>
  </r>
  <r>
    <n v="570"/>
    <s v="Martinez-Juarez"/>
    <s v="Realigned uniform knowledge user"/>
    <n v="31200"/>
    <n v="95364"/>
    <x v="1"/>
    <n v="2725"/>
    <x v="1"/>
    <s v="USD"/>
    <n v="1419055200"/>
    <n v="1419573600"/>
    <b v="0"/>
    <b v="1"/>
    <s v="music/rock"/>
    <m/>
    <x v="1"/>
    <s v="rock"/>
  </r>
  <r>
    <n v="571"/>
    <s v="Wilson and Sons"/>
    <s v="Monitored grid-enabled model"/>
    <n v="3500"/>
    <n v="3295"/>
    <x v="0"/>
    <n v="35"/>
    <x v="6"/>
    <s v="EUR"/>
    <n v="1434690000"/>
    <n v="1438750800"/>
    <b v="0"/>
    <b v="0"/>
    <s v="film &amp; video/shorts"/>
    <m/>
    <x v="4"/>
    <s v="shorts"/>
  </r>
  <r>
    <n v="572"/>
    <s v="Clements Group"/>
    <s v="Assimilated actuating policy"/>
    <n v="9000"/>
    <n v="4896"/>
    <x v="3"/>
    <n v="94"/>
    <x v="1"/>
    <s v="USD"/>
    <n v="1443416400"/>
    <n v="1444798800"/>
    <b v="0"/>
    <b v="1"/>
    <s v="music/rock"/>
    <m/>
    <x v="1"/>
    <s v="rock"/>
  </r>
  <r>
    <n v="573"/>
    <s v="Valenzuela-Cook"/>
    <s v="Total incremental productivity"/>
    <n v="6700"/>
    <n v="7496"/>
    <x v="1"/>
    <n v="300"/>
    <x v="1"/>
    <s v="USD"/>
    <n v="1399006800"/>
    <n v="1399179600"/>
    <b v="0"/>
    <b v="0"/>
    <s v="journalism/audio"/>
    <m/>
    <x v="8"/>
    <s v="audio"/>
  </r>
  <r>
    <n v="574"/>
    <s v="Parker, Haley and Foster"/>
    <s v="Adaptive local task-force"/>
    <n v="2700"/>
    <n v="9967"/>
    <x v="1"/>
    <n v="144"/>
    <x v="1"/>
    <s v="USD"/>
    <n v="1575698400"/>
    <n v="1576562400"/>
    <b v="0"/>
    <b v="1"/>
    <s v="food/food trucks"/>
    <m/>
    <x v="0"/>
    <s v="food trucks"/>
  </r>
  <r>
    <n v="575"/>
    <s v="Fuentes LLC"/>
    <s v="Universal zero-defect concept"/>
    <n v="83300"/>
    <n v="52421"/>
    <x v="0"/>
    <n v="558"/>
    <x v="1"/>
    <s v="USD"/>
    <n v="1400562000"/>
    <n v="1400821200"/>
    <b v="0"/>
    <b v="1"/>
    <s v="theater/plays"/>
    <m/>
    <x v="3"/>
    <s v="plays"/>
  </r>
  <r>
    <n v="576"/>
    <s v="Moran and Sons"/>
    <s v="Object-based bottom-line superstructure"/>
    <n v="9700"/>
    <n v="6298"/>
    <x v="0"/>
    <n v="64"/>
    <x v="1"/>
    <s v="USD"/>
    <n v="1509512400"/>
    <n v="1510984800"/>
    <b v="0"/>
    <b v="0"/>
    <s v="theater/plays"/>
    <m/>
    <x v="3"/>
    <s v="plays"/>
  </r>
  <r>
    <n v="577"/>
    <s v="Stevens Inc"/>
    <s v="Adaptive 24hour projection"/>
    <n v="8200"/>
    <n v="1546"/>
    <x v="3"/>
    <n v="37"/>
    <x v="1"/>
    <s v="USD"/>
    <n v="1299823200"/>
    <n v="1302066000"/>
    <b v="0"/>
    <b v="0"/>
    <s v="music/jazz"/>
    <m/>
    <x v="1"/>
    <s v="jazz"/>
  </r>
  <r>
    <n v="578"/>
    <s v="Martinez-Johnson"/>
    <s v="Sharable radical toolset"/>
    <n v="96500"/>
    <n v="16168"/>
    <x v="0"/>
    <n v="245"/>
    <x v="1"/>
    <s v="USD"/>
    <n v="1322719200"/>
    <n v="1322978400"/>
    <b v="0"/>
    <b v="0"/>
    <s v="film &amp; video/science fiction"/>
    <m/>
    <x v="4"/>
    <s v="science fiction"/>
  </r>
  <r>
    <n v="579"/>
    <s v="Franklin Inc"/>
    <s v="Focused multimedia knowledgebase"/>
    <n v="6200"/>
    <n v="6269"/>
    <x v="1"/>
    <n v="87"/>
    <x v="1"/>
    <s v="USD"/>
    <n v="1312693200"/>
    <n v="1313730000"/>
    <b v="0"/>
    <b v="0"/>
    <s v="music/jazz"/>
    <m/>
    <x v="1"/>
    <s v="jazz"/>
  </r>
  <r>
    <n v="580"/>
    <s v="Perez PLC"/>
    <s v="Seamless 6thgeneration extranet"/>
    <n v="43800"/>
    <n v="149578"/>
    <x v="1"/>
    <n v="3116"/>
    <x v="1"/>
    <s v="USD"/>
    <n v="1393394400"/>
    <n v="1394085600"/>
    <b v="0"/>
    <b v="0"/>
    <s v="theater/plays"/>
    <m/>
    <x v="3"/>
    <s v="plays"/>
  </r>
  <r>
    <n v="581"/>
    <s v="Sanchez, Cross and Savage"/>
    <s v="Sharable mobile knowledgebase"/>
    <n v="6000"/>
    <n v="3841"/>
    <x v="0"/>
    <n v="71"/>
    <x v="1"/>
    <s v="USD"/>
    <n v="1304053200"/>
    <n v="1305349200"/>
    <b v="0"/>
    <b v="0"/>
    <s v="technology/web"/>
    <m/>
    <x v="2"/>
    <s v="web"/>
  </r>
  <r>
    <n v="582"/>
    <s v="Pineda Ltd"/>
    <s v="Cross-group global system engine"/>
    <n v="8700"/>
    <n v="4531"/>
    <x v="0"/>
    <n v="42"/>
    <x v="1"/>
    <s v="USD"/>
    <n v="1433912400"/>
    <n v="1434344400"/>
    <b v="0"/>
    <b v="1"/>
    <s v="games/video games"/>
    <m/>
    <x v="6"/>
    <s v="video games"/>
  </r>
  <r>
    <n v="583"/>
    <s v="Powell and Sons"/>
    <s v="Centralized clear-thinking conglomeration"/>
    <n v="18900"/>
    <n v="60934"/>
    <x v="1"/>
    <n v="909"/>
    <x v="1"/>
    <s v="USD"/>
    <n v="1329717600"/>
    <n v="1331186400"/>
    <b v="0"/>
    <b v="0"/>
    <s v="film &amp; video/documentary"/>
    <m/>
    <x v="4"/>
    <s v="documentary"/>
  </r>
  <r>
    <n v="584"/>
    <s v="Nunez-Richards"/>
    <s v="De-engineered cohesive system engine"/>
    <n v="86400"/>
    <n v="103255"/>
    <x v="1"/>
    <n v="1613"/>
    <x v="1"/>
    <s v="USD"/>
    <n v="1335330000"/>
    <n v="1336539600"/>
    <b v="0"/>
    <b v="0"/>
    <s v="technology/web"/>
    <m/>
    <x v="2"/>
    <s v="web"/>
  </r>
  <r>
    <n v="585"/>
    <s v="Pugh LLC"/>
    <s v="Reactive analyzing function"/>
    <n v="8900"/>
    <n v="13065"/>
    <x v="1"/>
    <n v="136"/>
    <x v="1"/>
    <s v="USD"/>
    <n v="1268888400"/>
    <n v="1269752400"/>
    <b v="0"/>
    <b v="0"/>
    <s v="publishing/translations"/>
    <m/>
    <x v="5"/>
    <s v="translations"/>
  </r>
  <r>
    <n v="586"/>
    <s v="Rowe-Wong"/>
    <s v="Robust hybrid budgetary management"/>
    <n v="700"/>
    <n v="6654"/>
    <x v="1"/>
    <n v="130"/>
    <x v="1"/>
    <s v="USD"/>
    <n v="1289973600"/>
    <n v="1291615200"/>
    <b v="0"/>
    <b v="0"/>
    <s v="music/rock"/>
    <m/>
    <x v="1"/>
    <s v="rock"/>
  </r>
  <r>
    <n v="587"/>
    <s v="Williams-Santos"/>
    <s v="Open-source analyzing monitoring"/>
    <n v="9400"/>
    <n v="6852"/>
    <x v="0"/>
    <n v="156"/>
    <x v="0"/>
    <s v="CAD"/>
    <n v="1547877600"/>
    <n v="1552366800"/>
    <b v="0"/>
    <b v="1"/>
    <s v="food/food trucks"/>
    <m/>
    <x v="0"/>
    <s v="food trucks"/>
  </r>
  <r>
    <n v="588"/>
    <s v="Weber Inc"/>
    <s v="Up-sized discrete firmware"/>
    <n v="157600"/>
    <n v="124517"/>
    <x v="0"/>
    <n v="1368"/>
    <x v="4"/>
    <s v="GBP"/>
    <n v="1269493200"/>
    <n v="1272171600"/>
    <b v="0"/>
    <b v="0"/>
    <s v="theater/plays"/>
    <m/>
    <x v="3"/>
    <s v="plays"/>
  </r>
  <r>
    <n v="589"/>
    <s v="Avery, Brown and Parker"/>
    <s v="Exclusive intangible extranet"/>
    <n v="7900"/>
    <n v="5113"/>
    <x v="0"/>
    <n v="102"/>
    <x v="1"/>
    <s v="USD"/>
    <n v="1436072400"/>
    <n v="1436677200"/>
    <b v="0"/>
    <b v="0"/>
    <s v="film &amp; video/documentary"/>
    <m/>
    <x v="4"/>
    <s v="documentary"/>
  </r>
  <r>
    <n v="590"/>
    <s v="Cox Group"/>
    <s v="Synergized analyzing process improvement"/>
    <n v="7100"/>
    <n v="5824"/>
    <x v="0"/>
    <n v="86"/>
    <x v="2"/>
    <s v="AUD"/>
    <n v="1419141600"/>
    <n v="1420092000"/>
    <b v="0"/>
    <b v="0"/>
    <s v="publishing/radio &amp; podcasts"/>
    <m/>
    <x v="5"/>
    <s v="radio &amp; podcasts"/>
  </r>
  <r>
    <n v="591"/>
    <s v="Jensen LLC"/>
    <s v="Realigned dedicated system engine"/>
    <n v="600"/>
    <n v="6226"/>
    <x v="1"/>
    <n v="102"/>
    <x v="1"/>
    <s v="USD"/>
    <n v="1279083600"/>
    <n v="1279947600"/>
    <b v="0"/>
    <b v="0"/>
    <s v="games/video games"/>
    <m/>
    <x v="6"/>
    <s v="video games"/>
  </r>
  <r>
    <n v="592"/>
    <s v="Brown Inc"/>
    <s v="Object-based bandwidth-monitored concept"/>
    <n v="156800"/>
    <n v="20243"/>
    <x v="0"/>
    <n v="253"/>
    <x v="1"/>
    <s v="USD"/>
    <n v="1401426000"/>
    <n v="1402203600"/>
    <b v="0"/>
    <b v="0"/>
    <s v="theater/plays"/>
    <m/>
    <x v="3"/>
    <s v="plays"/>
  </r>
  <r>
    <n v="593"/>
    <s v="Hale-Hayes"/>
    <s v="Ameliorated client-driven open system"/>
    <n v="121600"/>
    <n v="188288"/>
    <x v="1"/>
    <n v="4006"/>
    <x v="1"/>
    <s v="USD"/>
    <n v="1395810000"/>
    <n v="1396933200"/>
    <b v="0"/>
    <b v="0"/>
    <s v="film &amp; video/animation"/>
    <m/>
    <x v="4"/>
    <s v="animation"/>
  </r>
  <r>
    <n v="594"/>
    <s v="Mcbride PLC"/>
    <s v="Upgradable leadingedge Local Area Network"/>
    <n v="157300"/>
    <n v="11167"/>
    <x v="0"/>
    <n v="157"/>
    <x v="1"/>
    <s v="USD"/>
    <n v="1467003600"/>
    <n v="1467262800"/>
    <b v="0"/>
    <b v="1"/>
    <s v="theater/plays"/>
    <m/>
    <x v="3"/>
    <s v="plays"/>
  </r>
  <r>
    <n v="595"/>
    <s v="Harris-Jennings"/>
    <s v="Customizable intermediate data-warehouse"/>
    <n v="70300"/>
    <n v="146595"/>
    <x v="1"/>
    <n v="1629"/>
    <x v="1"/>
    <s v="USD"/>
    <n v="1268715600"/>
    <n v="1270530000"/>
    <b v="0"/>
    <b v="1"/>
    <s v="theater/plays"/>
    <m/>
    <x v="3"/>
    <s v="plays"/>
  </r>
  <r>
    <n v="596"/>
    <s v="Becker-Scott"/>
    <s v="Managed optimizing archive"/>
    <n v="7900"/>
    <n v="7875"/>
    <x v="0"/>
    <n v="183"/>
    <x v="1"/>
    <s v="USD"/>
    <n v="1457157600"/>
    <n v="1457762400"/>
    <b v="0"/>
    <b v="1"/>
    <s v="film &amp; video/drama"/>
    <m/>
    <x v="4"/>
    <s v="drama"/>
  </r>
  <r>
    <n v="597"/>
    <s v="Todd, Freeman and Henry"/>
    <s v="Diverse systematic projection"/>
    <n v="73800"/>
    <n v="148779"/>
    <x v="1"/>
    <n v="2188"/>
    <x v="1"/>
    <s v="USD"/>
    <n v="1573970400"/>
    <n v="1575525600"/>
    <b v="0"/>
    <b v="0"/>
    <s v="theater/plays"/>
    <m/>
    <x v="3"/>
    <s v="plays"/>
  </r>
  <r>
    <n v="598"/>
    <s v="Martinez, Garza and Young"/>
    <s v="Up-sized web-enabled info-mediaries"/>
    <n v="108500"/>
    <n v="175868"/>
    <x v="1"/>
    <n v="2409"/>
    <x v="6"/>
    <s v="EUR"/>
    <n v="1276578000"/>
    <n v="1279083600"/>
    <b v="0"/>
    <b v="0"/>
    <s v="music/rock"/>
    <m/>
    <x v="1"/>
    <s v="rock"/>
  </r>
  <r>
    <n v="599"/>
    <s v="Smith-Ramos"/>
    <s v="Persevering optimizing Graphical User Interface"/>
    <n v="140300"/>
    <n v="5112"/>
    <x v="0"/>
    <n v="82"/>
    <x v="3"/>
    <s v="DKK"/>
    <n v="1423720800"/>
    <n v="1424412000"/>
    <b v="0"/>
    <b v="0"/>
    <s v="film &amp; video/documentary"/>
    <m/>
    <x v="4"/>
    <s v="documentary"/>
  </r>
  <r>
    <n v="600"/>
    <s v="Brown-George"/>
    <s v="Cross-platform tertiary array"/>
    <n v="100"/>
    <n v="5"/>
    <x v="0"/>
    <n v="1"/>
    <x v="4"/>
    <s v="GBP"/>
    <n v="1375160400"/>
    <n v="1376197200"/>
    <b v="0"/>
    <b v="0"/>
    <s v="food/food trucks"/>
    <m/>
    <x v="0"/>
    <s v="food trucks"/>
  </r>
  <r>
    <n v="601"/>
    <s v="Waters and Sons"/>
    <s v="Inverse neutral structure"/>
    <n v="6300"/>
    <n v="13018"/>
    <x v="1"/>
    <n v="194"/>
    <x v="1"/>
    <s v="USD"/>
    <n v="1401426000"/>
    <n v="1402894800"/>
    <b v="1"/>
    <b v="0"/>
    <s v="technology/wearables"/>
    <m/>
    <x v="2"/>
    <s v="wearables"/>
  </r>
  <r>
    <n v="602"/>
    <s v="Brown Ltd"/>
    <s v="Quality-focused system-worthy support"/>
    <n v="71100"/>
    <n v="91176"/>
    <x v="1"/>
    <n v="1140"/>
    <x v="1"/>
    <s v="USD"/>
    <n v="1433480400"/>
    <n v="1434430800"/>
    <b v="0"/>
    <b v="0"/>
    <s v="theater/plays"/>
    <m/>
    <x v="3"/>
    <s v="plays"/>
  </r>
  <r>
    <n v="603"/>
    <s v="Christian, Yates and Greer"/>
    <s v="Vision-oriented 5thgeneration array"/>
    <n v="5300"/>
    <n v="6342"/>
    <x v="1"/>
    <n v="102"/>
    <x v="1"/>
    <s v="USD"/>
    <n v="1555563600"/>
    <n v="1557896400"/>
    <b v="0"/>
    <b v="0"/>
    <s v="theater/plays"/>
    <m/>
    <x v="3"/>
    <s v="plays"/>
  </r>
  <r>
    <n v="604"/>
    <s v="Cole, Hernandez and Rodriguez"/>
    <s v="Cross-platform logistical circuit"/>
    <n v="88700"/>
    <n v="151438"/>
    <x v="1"/>
    <n v="2857"/>
    <x v="1"/>
    <s v="USD"/>
    <n v="1295676000"/>
    <n v="1297490400"/>
    <b v="0"/>
    <b v="0"/>
    <s v="theater/plays"/>
    <m/>
    <x v="3"/>
    <s v="plays"/>
  </r>
  <r>
    <n v="605"/>
    <s v="Ortiz, Valenzuela and Collins"/>
    <s v="Profound solution-oriented matrix"/>
    <n v="3300"/>
    <n v="6178"/>
    <x v="1"/>
    <n v="107"/>
    <x v="1"/>
    <s v="USD"/>
    <n v="1443848400"/>
    <n v="1447394400"/>
    <b v="0"/>
    <b v="0"/>
    <s v="publishing/nonfiction"/>
    <m/>
    <x v="5"/>
    <s v="nonfiction"/>
  </r>
  <r>
    <n v="606"/>
    <s v="Valencia PLC"/>
    <s v="Extended asynchronous initiative"/>
    <n v="3400"/>
    <n v="6405"/>
    <x v="1"/>
    <n v="160"/>
    <x v="4"/>
    <s v="GBP"/>
    <n v="1457330400"/>
    <n v="1458277200"/>
    <b v="0"/>
    <b v="0"/>
    <s v="music/rock"/>
    <m/>
    <x v="1"/>
    <s v="rock"/>
  </r>
  <r>
    <n v="607"/>
    <s v="Gordon, Mendez and Johnson"/>
    <s v="Fundamental needs-based frame"/>
    <n v="137600"/>
    <n v="180667"/>
    <x v="1"/>
    <n v="2230"/>
    <x v="1"/>
    <s v="USD"/>
    <n v="1395550800"/>
    <n v="1395723600"/>
    <b v="0"/>
    <b v="0"/>
    <s v="food/food trucks"/>
    <m/>
    <x v="0"/>
    <s v="food trucks"/>
  </r>
  <r>
    <n v="608"/>
    <s v="Johnson Group"/>
    <s v="Compatible full-range leverage"/>
    <n v="3900"/>
    <n v="11075"/>
    <x v="1"/>
    <n v="316"/>
    <x v="1"/>
    <s v="USD"/>
    <n v="1551852000"/>
    <n v="1552197600"/>
    <b v="0"/>
    <b v="1"/>
    <s v="music/jazz"/>
    <m/>
    <x v="1"/>
    <s v="jazz"/>
  </r>
  <r>
    <n v="609"/>
    <s v="Rose-Fuller"/>
    <s v="Upgradable holistic system engine"/>
    <n v="10000"/>
    <n v="12042"/>
    <x v="1"/>
    <n v="117"/>
    <x v="1"/>
    <s v="USD"/>
    <n v="1547618400"/>
    <n v="1549087200"/>
    <b v="0"/>
    <b v="0"/>
    <s v="film &amp; video/science fiction"/>
    <m/>
    <x v="4"/>
    <s v="science fiction"/>
  </r>
  <r>
    <n v="610"/>
    <s v="Hughes, Mendez and Patterson"/>
    <s v="Stand-alone multi-state data-warehouse"/>
    <n v="42800"/>
    <n v="179356"/>
    <x v="1"/>
    <n v="6406"/>
    <x v="1"/>
    <s v="USD"/>
    <n v="1355637600"/>
    <n v="1356847200"/>
    <b v="0"/>
    <b v="0"/>
    <s v="theater/plays"/>
    <m/>
    <x v="3"/>
    <s v="plays"/>
  </r>
  <r>
    <n v="611"/>
    <s v="Brady, Cortez and Rodriguez"/>
    <s v="Multi-lateral maximized core"/>
    <n v="8200"/>
    <n v="1136"/>
    <x v="3"/>
    <n v="15"/>
    <x v="1"/>
    <s v="USD"/>
    <n v="1374728400"/>
    <n v="1375765200"/>
    <b v="0"/>
    <b v="0"/>
    <s v="theater/plays"/>
    <m/>
    <x v="3"/>
    <s v="plays"/>
  </r>
  <r>
    <n v="612"/>
    <s v="Wang, Nguyen and Horton"/>
    <s v="Innovative holistic hub"/>
    <n v="6200"/>
    <n v="8645"/>
    <x v="1"/>
    <n v="192"/>
    <x v="1"/>
    <s v="USD"/>
    <n v="1287810000"/>
    <n v="1289800800"/>
    <b v="0"/>
    <b v="0"/>
    <s v="music/electric music"/>
    <m/>
    <x v="1"/>
    <s v="electric music"/>
  </r>
  <r>
    <n v="613"/>
    <s v="Santos, Williams and Brown"/>
    <s v="Reverse-engineered 24/7 methodology"/>
    <n v="1100"/>
    <n v="1914"/>
    <x v="1"/>
    <n v="26"/>
    <x v="0"/>
    <s v="CAD"/>
    <n v="1503723600"/>
    <n v="1504501200"/>
    <b v="0"/>
    <b v="0"/>
    <s v="theater/plays"/>
    <m/>
    <x v="3"/>
    <s v="plays"/>
  </r>
  <r>
    <n v="614"/>
    <s v="Barnett and Sons"/>
    <s v="Business-focused dynamic info-mediaries"/>
    <n v="26500"/>
    <n v="41205"/>
    <x v="1"/>
    <n v="723"/>
    <x v="1"/>
    <s v="USD"/>
    <n v="1484114400"/>
    <n v="1485669600"/>
    <b v="0"/>
    <b v="0"/>
    <s v="theater/plays"/>
    <m/>
    <x v="3"/>
    <s v="plays"/>
  </r>
  <r>
    <n v="615"/>
    <s v="Petersen-Rodriguez"/>
    <s v="Digitized clear-thinking installation"/>
    <n v="8500"/>
    <n v="14488"/>
    <x v="1"/>
    <n v="170"/>
    <x v="6"/>
    <s v="EUR"/>
    <n v="1461906000"/>
    <n v="1462770000"/>
    <b v="0"/>
    <b v="0"/>
    <s v="theater/plays"/>
    <m/>
    <x v="3"/>
    <s v="plays"/>
  </r>
  <r>
    <n v="616"/>
    <s v="Burnett-Mora"/>
    <s v="Quality-focused 24/7 superstructure"/>
    <n v="6400"/>
    <n v="12129"/>
    <x v="1"/>
    <n v="238"/>
    <x v="4"/>
    <s v="GBP"/>
    <n v="1379653200"/>
    <n v="1379739600"/>
    <b v="0"/>
    <b v="1"/>
    <s v="music/indie rock"/>
    <m/>
    <x v="1"/>
    <s v="indie rock"/>
  </r>
  <r>
    <n v="617"/>
    <s v="King LLC"/>
    <s v="Multi-channeled local intranet"/>
    <n v="1400"/>
    <n v="3496"/>
    <x v="1"/>
    <n v="55"/>
    <x v="1"/>
    <s v="USD"/>
    <n v="1401858000"/>
    <n v="1402722000"/>
    <b v="0"/>
    <b v="0"/>
    <s v="theater/plays"/>
    <m/>
    <x v="3"/>
    <s v="plays"/>
  </r>
  <r>
    <n v="618"/>
    <s v="Miller Ltd"/>
    <s v="Open-architected mobile emulation"/>
    <n v="198600"/>
    <n v="97037"/>
    <x v="0"/>
    <n v="1198"/>
    <x v="1"/>
    <s v="USD"/>
    <n v="1367470800"/>
    <n v="1369285200"/>
    <b v="0"/>
    <b v="0"/>
    <s v="publishing/nonfiction"/>
    <m/>
    <x v="5"/>
    <s v="nonfiction"/>
  </r>
  <r>
    <n v="619"/>
    <s v="Case LLC"/>
    <s v="Ameliorated foreground methodology"/>
    <n v="195900"/>
    <n v="55757"/>
    <x v="0"/>
    <n v="648"/>
    <x v="1"/>
    <s v="USD"/>
    <n v="1304658000"/>
    <n v="1304744400"/>
    <b v="1"/>
    <b v="1"/>
    <s v="theater/plays"/>
    <m/>
    <x v="3"/>
    <s v="plays"/>
  </r>
  <r>
    <n v="620"/>
    <s v="Swanson, Wilson and Baker"/>
    <s v="Synergized well-modulated project"/>
    <n v="4300"/>
    <n v="11525"/>
    <x v="1"/>
    <n v="128"/>
    <x v="2"/>
    <s v="AUD"/>
    <n v="1467954000"/>
    <n v="1468299600"/>
    <b v="0"/>
    <b v="0"/>
    <s v="photography/photography books"/>
    <m/>
    <x v="7"/>
    <s v="photography books"/>
  </r>
  <r>
    <n v="621"/>
    <s v="Dean, Fox and Phillips"/>
    <s v="Extended context-sensitive forecast"/>
    <n v="25600"/>
    <n v="158669"/>
    <x v="1"/>
    <n v="2144"/>
    <x v="1"/>
    <s v="USD"/>
    <n v="1473742800"/>
    <n v="1474174800"/>
    <b v="0"/>
    <b v="0"/>
    <s v="theater/plays"/>
    <m/>
    <x v="3"/>
    <s v="plays"/>
  </r>
  <r>
    <n v="622"/>
    <s v="Smith-Smith"/>
    <s v="Total leadingedge neural-net"/>
    <n v="189000"/>
    <n v="5916"/>
    <x v="0"/>
    <n v="64"/>
    <x v="1"/>
    <s v="USD"/>
    <n v="1523768400"/>
    <n v="1526014800"/>
    <b v="0"/>
    <b v="0"/>
    <s v="music/indie rock"/>
    <m/>
    <x v="1"/>
    <s v="indie rock"/>
  </r>
  <r>
    <n v="623"/>
    <s v="Smith, Scott and Rodriguez"/>
    <s v="Organic actuating protocol"/>
    <n v="94300"/>
    <n v="150806"/>
    <x v="1"/>
    <n v="2693"/>
    <x v="4"/>
    <s v="GBP"/>
    <n v="1437022800"/>
    <n v="1437454800"/>
    <b v="0"/>
    <b v="0"/>
    <s v="theater/plays"/>
    <m/>
    <x v="3"/>
    <s v="plays"/>
  </r>
  <r>
    <n v="624"/>
    <s v="White, Robertson and Roberts"/>
    <s v="Down-sized national software"/>
    <n v="5100"/>
    <n v="14249"/>
    <x v="1"/>
    <n v="432"/>
    <x v="1"/>
    <s v="USD"/>
    <n v="1422165600"/>
    <n v="1422684000"/>
    <b v="0"/>
    <b v="0"/>
    <s v="photography/photography books"/>
    <m/>
    <x v="7"/>
    <s v="photography books"/>
  </r>
  <r>
    <n v="625"/>
    <s v="Martinez Inc"/>
    <s v="Organic upward-trending Graphical User Interface"/>
    <n v="7500"/>
    <n v="5803"/>
    <x v="0"/>
    <n v="62"/>
    <x v="1"/>
    <s v="USD"/>
    <n v="1580104800"/>
    <n v="1581314400"/>
    <b v="0"/>
    <b v="0"/>
    <s v="theater/plays"/>
    <m/>
    <x v="3"/>
    <s v="plays"/>
  </r>
  <r>
    <n v="626"/>
    <s v="Tucker, Mccoy and Marquez"/>
    <s v="Synergistic tertiary budgetary management"/>
    <n v="6400"/>
    <n v="13205"/>
    <x v="1"/>
    <n v="189"/>
    <x v="1"/>
    <s v="USD"/>
    <n v="1285650000"/>
    <n v="1286427600"/>
    <b v="0"/>
    <b v="1"/>
    <s v="theater/plays"/>
    <m/>
    <x v="3"/>
    <s v="plays"/>
  </r>
  <r>
    <n v="627"/>
    <s v="Martin, Lee and Armstrong"/>
    <s v="Open-architected incremental ability"/>
    <n v="1600"/>
    <n v="11108"/>
    <x v="1"/>
    <n v="154"/>
    <x v="4"/>
    <s v="GBP"/>
    <n v="1276664400"/>
    <n v="1278738000"/>
    <b v="1"/>
    <b v="0"/>
    <s v="food/food trucks"/>
    <m/>
    <x v="0"/>
    <s v="food trucks"/>
  </r>
  <r>
    <n v="628"/>
    <s v="Dunn, Moreno and Green"/>
    <s v="Intuitive object-oriented task-force"/>
    <n v="1900"/>
    <n v="2884"/>
    <x v="1"/>
    <n v="96"/>
    <x v="1"/>
    <s v="USD"/>
    <n v="1286168400"/>
    <n v="1286427600"/>
    <b v="0"/>
    <b v="0"/>
    <s v="music/indie rock"/>
    <m/>
    <x v="1"/>
    <s v="indie rock"/>
  </r>
  <r>
    <n v="629"/>
    <s v="Jackson, Martinez and Ray"/>
    <s v="Multi-tiered executive toolset"/>
    <n v="85900"/>
    <n v="55476"/>
    <x v="0"/>
    <n v="750"/>
    <x v="1"/>
    <s v="USD"/>
    <n v="1467781200"/>
    <n v="1467954000"/>
    <b v="0"/>
    <b v="1"/>
    <s v="theater/plays"/>
    <m/>
    <x v="3"/>
    <s v="plays"/>
  </r>
  <r>
    <n v="630"/>
    <s v="Patterson-Johnson"/>
    <s v="Grass-roots directional workforce"/>
    <n v="9500"/>
    <n v="5973"/>
    <x v="3"/>
    <n v="87"/>
    <x v="1"/>
    <s v="USD"/>
    <n v="1556686800"/>
    <n v="1557637200"/>
    <b v="0"/>
    <b v="1"/>
    <s v="theater/plays"/>
    <m/>
    <x v="3"/>
    <s v="plays"/>
  </r>
  <r>
    <n v="631"/>
    <s v="Carlson-Hernandez"/>
    <s v="Quality-focused real-time solution"/>
    <n v="59200"/>
    <n v="183756"/>
    <x v="1"/>
    <n v="3063"/>
    <x v="1"/>
    <s v="USD"/>
    <n v="1553576400"/>
    <n v="1553922000"/>
    <b v="0"/>
    <b v="0"/>
    <s v="theater/plays"/>
    <m/>
    <x v="3"/>
    <s v="plays"/>
  </r>
  <r>
    <n v="632"/>
    <s v="Parker PLC"/>
    <s v="Reduced interactive matrix"/>
    <n v="72100"/>
    <n v="30902"/>
    <x v="2"/>
    <n v="278"/>
    <x v="1"/>
    <s v="USD"/>
    <n v="1414904400"/>
    <n v="1416463200"/>
    <b v="0"/>
    <b v="0"/>
    <s v="theater/plays"/>
    <m/>
    <x v="3"/>
    <s v="plays"/>
  </r>
  <r>
    <n v="633"/>
    <s v="Yu and Sons"/>
    <s v="Adaptive context-sensitive architecture"/>
    <n v="6700"/>
    <n v="5569"/>
    <x v="0"/>
    <n v="105"/>
    <x v="1"/>
    <s v="USD"/>
    <n v="1446876000"/>
    <n v="1447221600"/>
    <b v="0"/>
    <b v="0"/>
    <s v="film &amp; video/animation"/>
    <m/>
    <x v="4"/>
    <s v="animation"/>
  </r>
  <r>
    <n v="634"/>
    <s v="Taylor, Johnson and Hernandez"/>
    <s v="Polarized incremental portal"/>
    <n v="118200"/>
    <n v="92824"/>
    <x v="3"/>
    <n v="1658"/>
    <x v="1"/>
    <s v="USD"/>
    <n v="1490418000"/>
    <n v="1491627600"/>
    <b v="0"/>
    <b v="0"/>
    <s v="film &amp; video/television"/>
    <m/>
    <x v="4"/>
    <s v="television"/>
  </r>
  <r>
    <n v="635"/>
    <s v="Mack Ltd"/>
    <s v="Reactive regional access"/>
    <n v="139000"/>
    <n v="158590"/>
    <x v="1"/>
    <n v="2266"/>
    <x v="1"/>
    <s v="USD"/>
    <n v="1360389600"/>
    <n v="1363150800"/>
    <b v="0"/>
    <b v="0"/>
    <s v="film &amp; video/television"/>
    <m/>
    <x v="4"/>
    <s v="television"/>
  </r>
  <r>
    <n v="636"/>
    <s v="Lamb-Sanders"/>
    <s v="Stand-alone reciprocal frame"/>
    <n v="197700"/>
    <n v="127591"/>
    <x v="0"/>
    <n v="2604"/>
    <x v="3"/>
    <s v="DKK"/>
    <n v="1326866400"/>
    <n v="1330754400"/>
    <b v="0"/>
    <b v="1"/>
    <s v="film &amp; video/animation"/>
    <m/>
    <x v="4"/>
    <s v="animation"/>
  </r>
  <r>
    <n v="637"/>
    <s v="Williams-Ramirez"/>
    <s v="Open-architected 24/7 throughput"/>
    <n v="8500"/>
    <n v="6750"/>
    <x v="0"/>
    <n v="65"/>
    <x v="1"/>
    <s v="USD"/>
    <n v="1479103200"/>
    <n v="1479794400"/>
    <b v="0"/>
    <b v="0"/>
    <s v="theater/plays"/>
    <m/>
    <x v="3"/>
    <s v="plays"/>
  </r>
  <r>
    <n v="638"/>
    <s v="Weaver Ltd"/>
    <s v="Monitored 24/7 approach"/>
    <n v="81600"/>
    <n v="9318"/>
    <x v="0"/>
    <n v="94"/>
    <x v="1"/>
    <s v="USD"/>
    <n v="1280206800"/>
    <n v="1281243600"/>
    <b v="0"/>
    <b v="1"/>
    <s v="theater/plays"/>
    <m/>
    <x v="3"/>
    <s v="plays"/>
  </r>
  <r>
    <n v="639"/>
    <s v="Barnes-Williams"/>
    <s v="Upgradable explicit forecast"/>
    <n v="8600"/>
    <n v="4832"/>
    <x v="2"/>
    <n v="45"/>
    <x v="1"/>
    <s v="USD"/>
    <n v="1532754000"/>
    <n v="1532754000"/>
    <b v="0"/>
    <b v="1"/>
    <s v="film &amp; video/drama"/>
    <m/>
    <x v="4"/>
    <s v="drama"/>
  </r>
  <r>
    <n v="640"/>
    <s v="Richardson, Woodward and Hansen"/>
    <s v="Pre-emptive context-sensitive support"/>
    <n v="119800"/>
    <n v="19769"/>
    <x v="0"/>
    <n v="257"/>
    <x v="1"/>
    <s v="USD"/>
    <n v="1453096800"/>
    <n v="1453356000"/>
    <b v="0"/>
    <b v="0"/>
    <s v="theater/plays"/>
    <m/>
    <x v="3"/>
    <s v="plays"/>
  </r>
  <r>
    <n v="641"/>
    <s v="Hunt, Barker and Baker"/>
    <s v="Business-focused leadingedge instruction set"/>
    <n v="9400"/>
    <n v="11277"/>
    <x v="1"/>
    <n v="194"/>
    <x v="5"/>
    <s v="CHF"/>
    <n v="1487570400"/>
    <n v="1489986000"/>
    <b v="0"/>
    <b v="0"/>
    <s v="theater/plays"/>
    <m/>
    <x v="3"/>
    <s v="plays"/>
  </r>
  <r>
    <n v="642"/>
    <s v="Ramos, Moreno and Lewis"/>
    <s v="Extended multi-state knowledge user"/>
    <n v="9200"/>
    <n v="13382"/>
    <x v="1"/>
    <n v="129"/>
    <x v="0"/>
    <s v="CAD"/>
    <n v="1545026400"/>
    <n v="1545804000"/>
    <b v="0"/>
    <b v="0"/>
    <s v="technology/wearables"/>
    <m/>
    <x v="2"/>
    <s v="wearables"/>
  </r>
  <r>
    <n v="643"/>
    <s v="Harris Inc"/>
    <s v="Future-proofed modular groupware"/>
    <n v="14900"/>
    <n v="32986"/>
    <x v="1"/>
    <n v="375"/>
    <x v="1"/>
    <s v="USD"/>
    <n v="1488348000"/>
    <n v="1489899600"/>
    <b v="0"/>
    <b v="0"/>
    <s v="theater/plays"/>
    <m/>
    <x v="3"/>
    <s v="plays"/>
  </r>
  <r>
    <n v="644"/>
    <s v="Peters-Nelson"/>
    <s v="Distributed real-time algorithm"/>
    <n v="169400"/>
    <n v="81984"/>
    <x v="0"/>
    <n v="2928"/>
    <x v="0"/>
    <s v="CAD"/>
    <n v="1545112800"/>
    <n v="1546495200"/>
    <b v="0"/>
    <b v="0"/>
    <s v="theater/plays"/>
    <m/>
    <x v="3"/>
    <s v="plays"/>
  </r>
  <r>
    <n v="645"/>
    <s v="Ferguson, Murphy and Bright"/>
    <s v="Multi-lateral heuristic throughput"/>
    <n v="192100"/>
    <n v="178483"/>
    <x v="0"/>
    <n v="4697"/>
    <x v="1"/>
    <s v="USD"/>
    <n v="1537938000"/>
    <n v="1539752400"/>
    <b v="0"/>
    <b v="1"/>
    <s v="music/rock"/>
    <m/>
    <x v="1"/>
    <s v="rock"/>
  </r>
  <r>
    <n v="646"/>
    <s v="Robinson Group"/>
    <s v="Switchable reciprocal middleware"/>
    <n v="98700"/>
    <n v="87448"/>
    <x v="0"/>
    <n v="2915"/>
    <x v="1"/>
    <s v="USD"/>
    <n v="1363150800"/>
    <n v="1364101200"/>
    <b v="0"/>
    <b v="0"/>
    <s v="games/video games"/>
    <m/>
    <x v="6"/>
    <s v="video games"/>
  </r>
  <r>
    <n v="647"/>
    <s v="Jordan-Wolfe"/>
    <s v="Inverse multimedia Graphic Interface"/>
    <n v="4500"/>
    <n v="1863"/>
    <x v="0"/>
    <n v="18"/>
    <x v="1"/>
    <s v="USD"/>
    <n v="1523250000"/>
    <n v="1525323600"/>
    <b v="0"/>
    <b v="0"/>
    <s v="publishing/translations"/>
    <m/>
    <x v="5"/>
    <s v="translations"/>
  </r>
  <r>
    <n v="648"/>
    <s v="Vargas-Cox"/>
    <s v="Vision-oriented local contingency"/>
    <n v="98600"/>
    <n v="62174"/>
    <x v="3"/>
    <n v="723"/>
    <x v="1"/>
    <s v="USD"/>
    <n v="1499317200"/>
    <n v="1500872400"/>
    <b v="1"/>
    <b v="0"/>
    <s v="food/food trucks"/>
    <m/>
    <x v="0"/>
    <s v="food trucks"/>
  </r>
  <r>
    <n v="649"/>
    <s v="Yang and Sons"/>
    <s v="Reactive 6thgeneration hub"/>
    <n v="121700"/>
    <n v="59003"/>
    <x v="0"/>
    <n v="602"/>
    <x v="5"/>
    <s v="CHF"/>
    <n v="1287550800"/>
    <n v="1288501200"/>
    <b v="1"/>
    <b v="1"/>
    <s v="theater/plays"/>
    <m/>
    <x v="3"/>
    <s v="plays"/>
  </r>
  <r>
    <n v="650"/>
    <s v="Wilson, Wilson and Mathis"/>
    <s v="Optional asymmetric success"/>
    <n v="100"/>
    <n v="2"/>
    <x v="0"/>
    <n v="1"/>
    <x v="1"/>
    <s v="USD"/>
    <n v="1404795600"/>
    <n v="1407128400"/>
    <b v="0"/>
    <b v="0"/>
    <s v="music/jazz"/>
    <m/>
    <x v="1"/>
    <s v="jazz"/>
  </r>
  <r>
    <n v="651"/>
    <s v="Wang, Koch and Weaver"/>
    <s v="Digitized analyzing capacity"/>
    <n v="196700"/>
    <n v="174039"/>
    <x v="0"/>
    <n v="3868"/>
    <x v="6"/>
    <s v="EUR"/>
    <n v="1393048800"/>
    <n v="1394344800"/>
    <b v="0"/>
    <b v="0"/>
    <s v="film &amp; video/shorts"/>
    <m/>
    <x v="4"/>
    <s v="shorts"/>
  </r>
  <r>
    <n v="652"/>
    <s v="Cisneros Ltd"/>
    <s v="Vision-oriented regional hub"/>
    <n v="10000"/>
    <n v="12684"/>
    <x v="1"/>
    <n v="409"/>
    <x v="1"/>
    <s v="USD"/>
    <n v="1470373200"/>
    <n v="1474088400"/>
    <b v="0"/>
    <b v="0"/>
    <s v="technology/web"/>
    <m/>
    <x v="2"/>
    <s v="web"/>
  </r>
  <r>
    <n v="653"/>
    <s v="Williams-Jones"/>
    <s v="Monitored incremental info-mediaries"/>
    <n v="600"/>
    <n v="14033"/>
    <x v="1"/>
    <n v="234"/>
    <x v="1"/>
    <s v="USD"/>
    <n v="1460091600"/>
    <n v="1460264400"/>
    <b v="0"/>
    <b v="0"/>
    <s v="technology/web"/>
    <m/>
    <x v="2"/>
    <s v="web"/>
  </r>
  <r>
    <n v="654"/>
    <s v="Roberts, Hinton and Williams"/>
    <s v="Programmable static middleware"/>
    <n v="35000"/>
    <n v="177936"/>
    <x v="1"/>
    <n v="3016"/>
    <x v="1"/>
    <s v="USD"/>
    <n v="1440392400"/>
    <n v="1440824400"/>
    <b v="0"/>
    <b v="0"/>
    <s v="music/metal"/>
    <m/>
    <x v="1"/>
    <s v="metal"/>
  </r>
  <r>
    <n v="655"/>
    <s v="Gonzalez, Williams and Benson"/>
    <s v="Multi-layered bottom-line encryption"/>
    <n v="6900"/>
    <n v="13212"/>
    <x v="1"/>
    <n v="264"/>
    <x v="1"/>
    <s v="USD"/>
    <n v="1488434400"/>
    <n v="1489554000"/>
    <b v="1"/>
    <b v="0"/>
    <s v="photography/photography books"/>
    <m/>
    <x v="7"/>
    <s v="photography books"/>
  </r>
  <r>
    <n v="656"/>
    <s v="Hobbs, Brown and Lee"/>
    <s v="Vision-oriented systematic Graphical User Interface"/>
    <n v="118400"/>
    <n v="49879"/>
    <x v="0"/>
    <n v="504"/>
    <x v="2"/>
    <s v="AUD"/>
    <n v="1514440800"/>
    <n v="1514872800"/>
    <b v="0"/>
    <b v="0"/>
    <s v="food/food trucks"/>
    <m/>
    <x v="0"/>
    <s v="food trucks"/>
  </r>
  <r>
    <n v="657"/>
    <s v="Russo, Kim and Mccoy"/>
    <s v="Balanced optimal hardware"/>
    <n v="10000"/>
    <n v="824"/>
    <x v="0"/>
    <n v="14"/>
    <x v="1"/>
    <s v="USD"/>
    <n v="1514354400"/>
    <n v="1515736800"/>
    <b v="0"/>
    <b v="0"/>
    <s v="film &amp; video/science fiction"/>
    <m/>
    <x v="4"/>
    <s v="science fiction"/>
  </r>
  <r>
    <n v="658"/>
    <s v="Howell, Myers and Olson"/>
    <s v="Self-enabling mission-critical success"/>
    <n v="52600"/>
    <n v="31594"/>
    <x v="3"/>
    <n v="390"/>
    <x v="1"/>
    <s v="USD"/>
    <n v="1440910800"/>
    <n v="1442898000"/>
    <b v="0"/>
    <b v="0"/>
    <s v="music/rock"/>
    <m/>
    <x v="1"/>
    <s v="rock"/>
  </r>
  <r>
    <n v="659"/>
    <s v="Bailey and Sons"/>
    <s v="Grass-roots dynamic emulation"/>
    <n v="120700"/>
    <n v="57010"/>
    <x v="0"/>
    <n v="750"/>
    <x v="4"/>
    <s v="GBP"/>
    <n v="1296108000"/>
    <n v="1296194400"/>
    <b v="0"/>
    <b v="0"/>
    <s v="film &amp; video/documentary"/>
    <m/>
    <x v="4"/>
    <s v="documentary"/>
  </r>
  <r>
    <n v="660"/>
    <s v="Jensen-Brown"/>
    <s v="Fundamental disintermediate matrix"/>
    <n v="9100"/>
    <n v="7438"/>
    <x v="0"/>
    <n v="77"/>
    <x v="1"/>
    <s v="USD"/>
    <n v="1440133200"/>
    <n v="1440910800"/>
    <b v="1"/>
    <b v="0"/>
    <s v="theater/plays"/>
    <m/>
    <x v="3"/>
    <s v="plays"/>
  </r>
  <r>
    <n v="661"/>
    <s v="Smith Group"/>
    <s v="Right-sized secondary challenge"/>
    <n v="106800"/>
    <n v="57872"/>
    <x v="0"/>
    <n v="752"/>
    <x v="3"/>
    <s v="DKK"/>
    <n v="1332910800"/>
    <n v="1335502800"/>
    <b v="0"/>
    <b v="0"/>
    <s v="music/jazz"/>
    <m/>
    <x v="1"/>
    <s v="jazz"/>
  </r>
  <r>
    <n v="662"/>
    <s v="Murphy-Farrell"/>
    <s v="Implemented exuding software"/>
    <n v="9100"/>
    <n v="8906"/>
    <x v="0"/>
    <n v="131"/>
    <x v="1"/>
    <s v="USD"/>
    <n v="1544335200"/>
    <n v="1544680800"/>
    <b v="0"/>
    <b v="0"/>
    <s v="theater/plays"/>
    <m/>
    <x v="3"/>
    <s v="plays"/>
  </r>
  <r>
    <n v="663"/>
    <s v="Everett-Wolfe"/>
    <s v="Total optimizing software"/>
    <n v="10000"/>
    <n v="7724"/>
    <x v="0"/>
    <n v="87"/>
    <x v="1"/>
    <s v="USD"/>
    <n v="1286427600"/>
    <n v="1288414800"/>
    <b v="0"/>
    <b v="0"/>
    <s v="theater/plays"/>
    <m/>
    <x v="3"/>
    <s v="plays"/>
  </r>
  <r>
    <n v="664"/>
    <s v="Young PLC"/>
    <s v="Optional maximized attitude"/>
    <n v="79400"/>
    <n v="26571"/>
    <x v="0"/>
    <n v="1063"/>
    <x v="1"/>
    <s v="USD"/>
    <n v="1329717600"/>
    <n v="1330581600"/>
    <b v="0"/>
    <b v="0"/>
    <s v="music/jazz"/>
    <m/>
    <x v="1"/>
    <s v="jazz"/>
  </r>
  <r>
    <n v="665"/>
    <s v="Park-Goodman"/>
    <s v="Customer-focused impactful extranet"/>
    <n v="5100"/>
    <n v="12219"/>
    <x v="1"/>
    <n v="272"/>
    <x v="1"/>
    <s v="USD"/>
    <n v="1310187600"/>
    <n v="1311397200"/>
    <b v="0"/>
    <b v="1"/>
    <s v="film &amp; video/documentary"/>
    <m/>
    <x v="4"/>
    <s v="documentary"/>
  </r>
  <r>
    <n v="666"/>
    <s v="York, Barr and Grant"/>
    <s v="Cloned bottom-line success"/>
    <n v="3100"/>
    <n v="1985"/>
    <x v="3"/>
    <n v="25"/>
    <x v="1"/>
    <s v="USD"/>
    <n v="1377838800"/>
    <n v="1378357200"/>
    <b v="0"/>
    <b v="1"/>
    <s v="theater/plays"/>
    <m/>
    <x v="3"/>
    <s v="plays"/>
  </r>
  <r>
    <n v="667"/>
    <s v="Little Ltd"/>
    <s v="Decentralized bandwidth-monitored ability"/>
    <n v="6900"/>
    <n v="12155"/>
    <x v="1"/>
    <n v="419"/>
    <x v="1"/>
    <s v="USD"/>
    <n v="1410325200"/>
    <n v="1411102800"/>
    <b v="0"/>
    <b v="0"/>
    <s v="journalism/audio"/>
    <m/>
    <x v="8"/>
    <s v="audio"/>
  </r>
  <r>
    <n v="668"/>
    <s v="Brown and Sons"/>
    <s v="Programmable leadingedge budgetary management"/>
    <n v="27500"/>
    <n v="5593"/>
    <x v="0"/>
    <n v="76"/>
    <x v="1"/>
    <s v="USD"/>
    <n v="1343797200"/>
    <n v="1344834000"/>
    <b v="0"/>
    <b v="0"/>
    <s v="theater/plays"/>
    <m/>
    <x v="3"/>
    <s v="plays"/>
  </r>
  <r>
    <n v="669"/>
    <s v="Payne, Garrett and Thomas"/>
    <s v="Upgradable bi-directional concept"/>
    <n v="48800"/>
    <n v="175020"/>
    <x v="1"/>
    <n v="1621"/>
    <x v="6"/>
    <s v="EUR"/>
    <n v="1498453200"/>
    <n v="1499230800"/>
    <b v="0"/>
    <b v="0"/>
    <s v="theater/plays"/>
    <m/>
    <x v="3"/>
    <s v="plays"/>
  </r>
  <r>
    <n v="670"/>
    <s v="Robinson Group"/>
    <s v="Re-contextualized homogeneous flexibility"/>
    <n v="16200"/>
    <n v="75955"/>
    <x v="1"/>
    <n v="1101"/>
    <x v="1"/>
    <s v="USD"/>
    <n v="1456380000"/>
    <n v="1457416800"/>
    <b v="0"/>
    <b v="0"/>
    <s v="music/indie rock"/>
    <m/>
    <x v="1"/>
    <s v="indie rock"/>
  </r>
  <r>
    <n v="671"/>
    <s v="Robinson-Kelly"/>
    <s v="Monitored bi-directional standardization"/>
    <n v="97600"/>
    <n v="119127"/>
    <x v="1"/>
    <n v="1073"/>
    <x v="1"/>
    <s v="USD"/>
    <n v="1280552400"/>
    <n v="1280898000"/>
    <b v="0"/>
    <b v="1"/>
    <s v="theater/plays"/>
    <m/>
    <x v="3"/>
    <s v="plays"/>
  </r>
  <r>
    <n v="672"/>
    <s v="Kelly-Colon"/>
    <s v="Stand-alone grid-enabled leverage"/>
    <n v="197900"/>
    <n v="110689"/>
    <x v="0"/>
    <n v="4428"/>
    <x v="2"/>
    <s v="AUD"/>
    <n v="1521608400"/>
    <n v="1522472400"/>
    <b v="0"/>
    <b v="0"/>
    <s v="theater/plays"/>
    <m/>
    <x v="3"/>
    <s v="plays"/>
  </r>
  <r>
    <n v="673"/>
    <s v="Turner, Scott and Gentry"/>
    <s v="Assimilated regional groupware"/>
    <n v="5600"/>
    <n v="2445"/>
    <x v="0"/>
    <n v="58"/>
    <x v="6"/>
    <s v="EUR"/>
    <n v="1460696400"/>
    <n v="1462510800"/>
    <b v="0"/>
    <b v="0"/>
    <s v="music/indie rock"/>
    <m/>
    <x v="1"/>
    <s v="indie rock"/>
  </r>
  <r>
    <n v="674"/>
    <s v="Sanchez Ltd"/>
    <s v="Up-sized 24hour instruction set"/>
    <n v="170700"/>
    <n v="57250"/>
    <x v="3"/>
    <n v="1218"/>
    <x v="1"/>
    <s v="USD"/>
    <n v="1313730000"/>
    <n v="1317790800"/>
    <b v="0"/>
    <b v="0"/>
    <s v="photography/photography books"/>
    <m/>
    <x v="7"/>
    <s v="photography books"/>
  </r>
  <r>
    <n v="675"/>
    <s v="Giles-Smith"/>
    <s v="Right-sized web-enabled intranet"/>
    <n v="9700"/>
    <n v="11929"/>
    <x v="1"/>
    <n v="331"/>
    <x v="1"/>
    <s v="USD"/>
    <n v="1568178000"/>
    <n v="1568782800"/>
    <b v="0"/>
    <b v="0"/>
    <s v="journalism/audio"/>
    <m/>
    <x v="8"/>
    <s v="audio"/>
  </r>
  <r>
    <n v="676"/>
    <s v="Thompson-Moreno"/>
    <s v="Expanded needs-based orchestration"/>
    <n v="62300"/>
    <n v="118214"/>
    <x v="1"/>
    <n v="1170"/>
    <x v="1"/>
    <s v="USD"/>
    <n v="1348635600"/>
    <n v="1349413200"/>
    <b v="0"/>
    <b v="0"/>
    <s v="photography/photography books"/>
    <m/>
    <x v="7"/>
    <s v="photography books"/>
  </r>
  <r>
    <n v="677"/>
    <s v="Murphy-Fox"/>
    <s v="Organic system-worthy orchestration"/>
    <n v="5300"/>
    <n v="4432"/>
    <x v="0"/>
    <n v="111"/>
    <x v="1"/>
    <s v="USD"/>
    <n v="1468126800"/>
    <n v="1472446800"/>
    <b v="0"/>
    <b v="0"/>
    <s v="publishing/fiction"/>
    <m/>
    <x v="5"/>
    <s v="fiction"/>
  </r>
  <r>
    <n v="678"/>
    <s v="Rodriguez-Patterson"/>
    <s v="Inverse static standardization"/>
    <n v="99500"/>
    <n v="17879"/>
    <x v="3"/>
    <n v="215"/>
    <x v="1"/>
    <s v="USD"/>
    <n v="1547877600"/>
    <n v="1548050400"/>
    <b v="0"/>
    <b v="0"/>
    <s v="film &amp; video/drama"/>
    <m/>
    <x v="4"/>
    <s v="drama"/>
  </r>
  <r>
    <n v="679"/>
    <s v="Davis Ltd"/>
    <s v="Synchronized motivating solution"/>
    <n v="1400"/>
    <n v="14511"/>
    <x v="1"/>
    <n v="363"/>
    <x v="1"/>
    <s v="USD"/>
    <n v="1571374800"/>
    <n v="1571806800"/>
    <b v="0"/>
    <b v="1"/>
    <s v="food/food trucks"/>
    <m/>
    <x v="0"/>
    <s v="food trucks"/>
  </r>
  <r>
    <n v="680"/>
    <s v="Nelson-Valdez"/>
    <s v="Open-source 4thgeneration open system"/>
    <n v="145600"/>
    <n v="141822"/>
    <x v="0"/>
    <n v="2955"/>
    <x v="1"/>
    <s v="USD"/>
    <n v="1576303200"/>
    <n v="1576476000"/>
    <b v="0"/>
    <b v="1"/>
    <s v="games/mobile games"/>
    <m/>
    <x v="6"/>
    <s v="mobile games"/>
  </r>
  <r>
    <n v="681"/>
    <s v="Kelly PLC"/>
    <s v="Decentralized context-sensitive superstructure"/>
    <n v="184100"/>
    <n v="159037"/>
    <x v="0"/>
    <n v="1657"/>
    <x v="1"/>
    <s v="USD"/>
    <n v="1324447200"/>
    <n v="1324965600"/>
    <b v="0"/>
    <b v="0"/>
    <s v="theater/plays"/>
    <m/>
    <x v="3"/>
    <s v="plays"/>
  </r>
  <r>
    <n v="682"/>
    <s v="Nguyen and Sons"/>
    <s v="Compatible 5thgeneration concept"/>
    <n v="5400"/>
    <n v="8109"/>
    <x v="1"/>
    <n v="103"/>
    <x v="1"/>
    <s v="USD"/>
    <n v="1386741600"/>
    <n v="1387519200"/>
    <b v="0"/>
    <b v="0"/>
    <s v="theater/plays"/>
    <m/>
    <x v="3"/>
    <s v="plays"/>
  </r>
  <r>
    <n v="683"/>
    <s v="Jones PLC"/>
    <s v="Virtual systemic intranet"/>
    <n v="2300"/>
    <n v="8244"/>
    <x v="1"/>
    <n v="147"/>
    <x v="1"/>
    <s v="USD"/>
    <n v="1537074000"/>
    <n v="1537246800"/>
    <b v="0"/>
    <b v="0"/>
    <s v="theater/plays"/>
    <m/>
    <x v="3"/>
    <s v="plays"/>
  </r>
  <r>
    <n v="684"/>
    <s v="Gilmore LLC"/>
    <s v="Optimized systemic algorithm"/>
    <n v="1400"/>
    <n v="7600"/>
    <x v="1"/>
    <n v="110"/>
    <x v="0"/>
    <s v="CAD"/>
    <n v="1277787600"/>
    <n v="1279515600"/>
    <b v="0"/>
    <b v="0"/>
    <s v="publishing/nonfiction"/>
    <m/>
    <x v="5"/>
    <s v="nonfiction"/>
  </r>
  <r>
    <n v="685"/>
    <s v="Lee-Cobb"/>
    <s v="Customizable homogeneous firmware"/>
    <n v="140000"/>
    <n v="94501"/>
    <x v="0"/>
    <n v="926"/>
    <x v="0"/>
    <s v="CAD"/>
    <n v="1440306000"/>
    <n v="1442379600"/>
    <b v="0"/>
    <b v="0"/>
    <s v="theater/plays"/>
    <m/>
    <x v="3"/>
    <s v="plays"/>
  </r>
  <r>
    <n v="686"/>
    <s v="Jones, Wiley and Robbins"/>
    <s v="Front-line cohesive extranet"/>
    <n v="7500"/>
    <n v="14381"/>
    <x v="1"/>
    <n v="134"/>
    <x v="1"/>
    <s v="USD"/>
    <n v="1522126800"/>
    <n v="1523077200"/>
    <b v="0"/>
    <b v="0"/>
    <s v="technology/wearables"/>
    <m/>
    <x v="2"/>
    <s v="wearables"/>
  </r>
  <r>
    <n v="687"/>
    <s v="Martin, Gates and Holt"/>
    <s v="Distributed holistic neural-net"/>
    <n v="1500"/>
    <n v="13980"/>
    <x v="1"/>
    <n v="269"/>
    <x v="1"/>
    <s v="USD"/>
    <n v="1489298400"/>
    <n v="1489554000"/>
    <b v="0"/>
    <b v="0"/>
    <s v="theater/plays"/>
    <m/>
    <x v="3"/>
    <s v="plays"/>
  </r>
  <r>
    <n v="688"/>
    <s v="Bowen, Davies and Burns"/>
    <s v="Devolved client-server monitoring"/>
    <n v="2900"/>
    <n v="12449"/>
    <x v="1"/>
    <n v="175"/>
    <x v="1"/>
    <s v="USD"/>
    <n v="1547100000"/>
    <n v="1548482400"/>
    <b v="0"/>
    <b v="1"/>
    <s v="film &amp; video/television"/>
    <m/>
    <x v="4"/>
    <s v="television"/>
  </r>
  <r>
    <n v="689"/>
    <s v="Nguyen Inc"/>
    <s v="Seamless directional capacity"/>
    <n v="7300"/>
    <n v="7348"/>
    <x v="1"/>
    <n v="69"/>
    <x v="1"/>
    <s v="USD"/>
    <n v="1383022800"/>
    <n v="1384063200"/>
    <b v="0"/>
    <b v="0"/>
    <s v="technology/web"/>
    <m/>
    <x v="2"/>
    <s v="web"/>
  </r>
  <r>
    <n v="690"/>
    <s v="Walsh-Watts"/>
    <s v="Polarized actuating implementation"/>
    <n v="3600"/>
    <n v="8158"/>
    <x v="1"/>
    <n v="190"/>
    <x v="1"/>
    <s v="USD"/>
    <n v="1322373600"/>
    <n v="1322892000"/>
    <b v="0"/>
    <b v="1"/>
    <s v="film &amp; video/documentary"/>
    <m/>
    <x v="4"/>
    <s v="documentary"/>
  </r>
  <r>
    <n v="691"/>
    <s v="Ray, Li and Li"/>
    <s v="Front-line disintermediate hub"/>
    <n v="5000"/>
    <n v="7119"/>
    <x v="1"/>
    <n v="237"/>
    <x v="1"/>
    <s v="USD"/>
    <n v="1349240400"/>
    <n v="1350709200"/>
    <b v="1"/>
    <b v="1"/>
    <s v="film &amp; video/documentary"/>
    <m/>
    <x v="4"/>
    <s v="documentary"/>
  </r>
  <r>
    <n v="692"/>
    <s v="Murray Ltd"/>
    <s v="Decentralized 4thgeneration challenge"/>
    <n v="6000"/>
    <n v="5438"/>
    <x v="0"/>
    <n v="77"/>
    <x v="4"/>
    <s v="GBP"/>
    <n v="1562648400"/>
    <n v="1564203600"/>
    <b v="0"/>
    <b v="0"/>
    <s v="music/rock"/>
    <m/>
    <x v="1"/>
    <s v="rock"/>
  </r>
  <r>
    <n v="693"/>
    <s v="Bradford-Silva"/>
    <s v="Reverse-engineered composite hierarchy"/>
    <n v="180400"/>
    <n v="115396"/>
    <x v="0"/>
    <n v="1748"/>
    <x v="1"/>
    <s v="USD"/>
    <n v="1508216400"/>
    <n v="1509685200"/>
    <b v="0"/>
    <b v="0"/>
    <s v="theater/plays"/>
    <m/>
    <x v="3"/>
    <s v="plays"/>
  </r>
  <r>
    <n v="694"/>
    <s v="Mora-Bradley"/>
    <s v="Programmable tangible ability"/>
    <n v="9100"/>
    <n v="7656"/>
    <x v="0"/>
    <n v="79"/>
    <x v="1"/>
    <s v="USD"/>
    <n v="1511762400"/>
    <n v="1514959200"/>
    <b v="0"/>
    <b v="0"/>
    <s v="theater/plays"/>
    <m/>
    <x v="3"/>
    <s v="plays"/>
  </r>
  <r>
    <n v="695"/>
    <s v="Cardenas, Thompson and Carey"/>
    <s v="Configurable full-range emulation"/>
    <n v="9200"/>
    <n v="12322"/>
    <x v="1"/>
    <n v="196"/>
    <x v="6"/>
    <s v="EUR"/>
    <n v="1447480800"/>
    <n v="1448863200"/>
    <b v="1"/>
    <b v="0"/>
    <s v="music/rock"/>
    <m/>
    <x v="1"/>
    <s v="rock"/>
  </r>
  <r>
    <n v="696"/>
    <s v="Lopez, Reid and Johnson"/>
    <s v="Total real-time hardware"/>
    <n v="164100"/>
    <n v="96888"/>
    <x v="0"/>
    <n v="889"/>
    <x v="1"/>
    <s v="USD"/>
    <n v="1429506000"/>
    <n v="1429592400"/>
    <b v="0"/>
    <b v="1"/>
    <s v="theater/plays"/>
    <m/>
    <x v="3"/>
    <s v="plays"/>
  </r>
  <r>
    <n v="697"/>
    <s v="Fox-Williams"/>
    <s v="Profound system-worthy functionalities"/>
    <n v="128900"/>
    <n v="196960"/>
    <x v="1"/>
    <n v="7295"/>
    <x v="1"/>
    <s v="USD"/>
    <n v="1522472400"/>
    <n v="1522645200"/>
    <b v="0"/>
    <b v="0"/>
    <s v="music/electric music"/>
    <m/>
    <x v="1"/>
    <s v="electric music"/>
  </r>
  <r>
    <n v="698"/>
    <s v="Taylor, Wood and Taylor"/>
    <s v="Cloned hybrid focus group"/>
    <n v="42100"/>
    <n v="188057"/>
    <x v="1"/>
    <n v="2893"/>
    <x v="0"/>
    <s v="CAD"/>
    <n v="1322114400"/>
    <n v="1323324000"/>
    <b v="0"/>
    <b v="0"/>
    <s v="technology/wearables"/>
    <m/>
    <x v="2"/>
    <s v="wearables"/>
  </r>
  <r>
    <n v="699"/>
    <s v="King Inc"/>
    <s v="Ergonomic dedicated focus group"/>
    <n v="7400"/>
    <n v="6245"/>
    <x v="0"/>
    <n v="56"/>
    <x v="1"/>
    <s v="USD"/>
    <n v="1561438800"/>
    <n v="1561525200"/>
    <b v="0"/>
    <b v="0"/>
    <s v="film &amp; video/drama"/>
    <m/>
    <x v="4"/>
    <s v="drama"/>
  </r>
  <r>
    <n v="700"/>
    <s v="Cole, Petty and Cameron"/>
    <s v="Realigned zero administration paradigm"/>
    <n v="100"/>
    <n v="3"/>
    <x v="0"/>
    <n v="1"/>
    <x v="1"/>
    <s v="USD"/>
    <n v="1264399200"/>
    <n v="1265695200"/>
    <b v="0"/>
    <b v="0"/>
    <s v="technology/wearables"/>
    <m/>
    <x v="2"/>
    <s v="wearables"/>
  </r>
  <r>
    <n v="701"/>
    <s v="Mcclain LLC"/>
    <s v="Open-source multi-tasking methodology"/>
    <n v="52000"/>
    <n v="91014"/>
    <x v="1"/>
    <n v="820"/>
    <x v="1"/>
    <s v="USD"/>
    <n v="1301202000"/>
    <n v="1301806800"/>
    <b v="1"/>
    <b v="0"/>
    <s v="theater/plays"/>
    <m/>
    <x v="3"/>
    <s v="plays"/>
  </r>
  <r>
    <n v="702"/>
    <s v="Sims-Gross"/>
    <s v="Object-based attitude-oriented analyzer"/>
    <n v="8700"/>
    <n v="4710"/>
    <x v="0"/>
    <n v="83"/>
    <x v="1"/>
    <s v="USD"/>
    <n v="1374469200"/>
    <n v="1374901200"/>
    <b v="0"/>
    <b v="0"/>
    <s v="technology/wearables"/>
    <m/>
    <x v="2"/>
    <s v="wearables"/>
  </r>
  <r>
    <n v="703"/>
    <s v="Perez Group"/>
    <s v="Cross-platform tertiary hub"/>
    <n v="63400"/>
    <n v="197728"/>
    <x v="1"/>
    <n v="2038"/>
    <x v="1"/>
    <s v="USD"/>
    <n v="1334984400"/>
    <n v="1336453200"/>
    <b v="1"/>
    <b v="1"/>
    <s v="publishing/translations"/>
    <m/>
    <x v="5"/>
    <s v="translations"/>
  </r>
  <r>
    <n v="704"/>
    <s v="Haynes-Williams"/>
    <s v="Seamless clear-thinking artificial intelligence"/>
    <n v="8700"/>
    <n v="10682"/>
    <x v="1"/>
    <n v="116"/>
    <x v="1"/>
    <s v="USD"/>
    <n v="1467608400"/>
    <n v="1468904400"/>
    <b v="0"/>
    <b v="0"/>
    <s v="film &amp; video/animation"/>
    <m/>
    <x v="4"/>
    <s v="animation"/>
  </r>
  <r>
    <n v="705"/>
    <s v="Ford LLC"/>
    <s v="Centralized tangible success"/>
    <n v="169700"/>
    <n v="168048"/>
    <x v="0"/>
    <n v="2025"/>
    <x v="4"/>
    <s v="GBP"/>
    <n v="1386741600"/>
    <n v="1387087200"/>
    <b v="0"/>
    <b v="0"/>
    <s v="publishing/nonfiction"/>
    <m/>
    <x v="5"/>
    <s v="nonfiction"/>
  </r>
  <r>
    <n v="706"/>
    <s v="Moreno Ltd"/>
    <s v="Customer-focused multimedia methodology"/>
    <n v="108400"/>
    <n v="138586"/>
    <x v="1"/>
    <n v="1345"/>
    <x v="2"/>
    <s v="AUD"/>
    <n v="1546754400"/>
    <n v="1547445600"/>
    <b v="0"/>
    <b v="1"/>
    <s v="technology/web"/>
    <m/>
    <x v="2"/>
    <s v="web"/>
  </r>
  <r>
    <n v="707"/>
    <s v="Moore, Cook and Wright"/>
    <s v="Visionary maximized Local Area Network"/>
    <n v="7300"/>
    <n v="11579"/>
    <x v="1"/>
    <n v="168"/>
    <x v="1"/>
    <s v="USD"/>
    <n v="1544248800"/>
    <n v="1547359200"/>
    <b v="0"/>
    <b v="0"/>
    <s v="film &amp; video/drama"/>
    <m/>
    <x v="4"/>
    <s v="drama"/>
  </r>
  <r>
    <n v="708"/>
    <s v="Ortega LLC"/>
    <s v="Secured bifurcated intranet"/>
    <n v="1700"/>
    <n v="12020"/>
    <x v="1"/>
    <n v="137"/>
    <x v="5"/>
    <s v="CHF"/>
    <n v="1495429200"/>
    <n v="1496293200"/>
    <b v="0"/>
    <b v="0"/>
    <s v="theater/plays"/>
    <m/>
    <x v="3"/>
    <s v="plays"/>
  </r>
  <r>
    <n v="709"/>
    <s v="Silva, Walker and Martin"/>
    <s v="Grass-roots 4thgeneration product"/>
    <n v="9800"/>
    <n v="13954"/>
    <x v="1"/>
    <n v="186"/>
    <x v="6"/>
    <s v="EUR"/>
    <n v="1334811600"/>
    <n v="1335416400"/>
    <b v="0"/>
    <b v="0"/>
    <s v="theater/plays"/>
    <m/>
    <x v="3"/>
    <s v="plays"/>
  </r>
  <r>
    <n v="710"/>
    <s v="Huynh, Gallegos and Mills"/>
    <s v="Reduced next generation info-mediaries"/>
    <n v="4300"/>
    <n v="6358"/>
    <x v="1"/>
    <n v="125"/>
    <x v="1"/>
    <s v="USD"/>
    <n v="1531544400"/>
    <n v="1532149200"/>
    <b v="0"/>
    <b v="1"/>
    <s v="theater/plays"/>
    <m/>
    <x v="3"/>
    <s v="plays"/>
  </r>
  <r>
    <n v="711"/>
    <s v="Anderson LLC"/>
    <s v="Customizable full-range artificial intelligence"/>
    <n v="6200"/>
    <n v="1260"/>
    <x v="0"/>
    <n v="14"/>
    <x v="6"/>
    <s v="EUR"/>
    <n v="1453615200"/>
    <n v="1453788000"/>
    <b v="1"/>
    <b v="1"/>
    <s v="theater/plays"/>
    <m/>
    <x v="3"/>
    <s v="plays"/>
  </r>
  <r>
    <n v="712"/>
    <s v="Garza-Bryant"/>
    <s v="Programmable leadingedge contingency"/>
    <n v="800"/>
    <n v="14725"/>
    <x v="1"/>
    <n v="202"/>
    <x v="1"/>
    <s v="USD"/>
    <n v="1467954000"/>
    <n v="1471496400"/>
    <b v="0"/>
    <b v="0"/>
    <s v="theater/plays"/>
    <m/>
    <x v="3"/>
    <s v="plays"/>
  </r>
  <r>
    <n v="713"/>
    <s v="Mays LLC"/>
    <s v="Multi-layered global groupware"/>
    <n v="6900"/>
    <n v="11174"/>
    <x v="1"/>
    <n v="103"/>
    <x v="1"/>
    <s v="USD"/>
    <n v="1471842000"/>
    <n v="1472878800"/>
    <b v="0"/>
    <b v="0"/>
    <s v="publishing/radio &amp; podcasts"/>
    <m/>
    <x v="5"/>
    <s v="radio &amp; podcasts"/>
  </r>
  <r>
    <n v="714"/>
    <s v="Evans-Jones"/>
    <s v="Switchable methodical superstructure"/>
    <n v="38500"/>
    <n v="182036"/>
    <x v="1"/>
    <n v="1785"/>
    <x v="1"/>
    <s v="USD"/>
    <n v="1408424400"/>
    <n v="1408510800"/>
    <b v="0"/>
    <b v="0"/>
    <s v="music/rock"/>
    <m/>
    <x v="1"/>
    <s v="rock"/>
  </r>
  <r>
    <n v="715"/>
    <s v="Fischer, Torres and Walker"/>
    <s v="Expanded even-keeled portal"/>
    <n v="118000"/>
    <n v="28870"/>
    <x v="0"/>
    <n v="656"/>
    <x v="1"/>
    <s v="USD"/>
    <n v="1281157200"/>
    <n v="1281589200"/>
    <b v="0"/>
    <b v="0"/>
    <s v="games/mobile games"/>
    <m/>
    <x v="6"/>
    <s v="mobile games"/>
  </r>
  <r>
    <n v="716"/>
    <s v="Tapia, Kramer and Hicks"/>
    <s v="Advanced modular moderator"/>
    <n v="2000"/>
    <n v="10353"/>
    <x v="1"/>
    <n v="157"/>
    <x v="1"/>
    <s v="USD"/>
    <n v="1373432400"/>
    <n v="1375851600"/>
    <b v="0"/>
    <b v="1"/>
    <s v="theater/plays"/>
    <m/>
    <x v="3"/>
    <s v="plays"/>
  </r>
  <r>
    <n v="717"/>
    <s v="Barnes, Wilcox and Riley"/>
    <s v="Reverse-engineered well-modulated ability"/>
    <n v="5600"/>
    <n v="13868"/>
    <x v="1"/>
    <n v="555"/>
    <x v="1"/>
    <s v="USD"/>
    <n v="1313989200"/>
    <n v="1315803600"/>
    <b v="0"/>
    <b v="0"/>
    <s v="film &amp; video/documentary"/>
    <m/>
    <x v="4"/>
    <s v="documentary"/>
  </r>
  <r>
    <n v="718"/>
    <s v="Reyes PLC"/>
    <s v="Expanded optimal pricing structure"/>
    <n v="8300"/>
    <n v="8317"/>
    <x v="1"/>
    <n v="297"/>
    <x v="1"/>
    <s v="USD"/>
    <n v="1371445200"/>
    <n v="1373691600"/>
    <b v="0"/>
    <b v="0"/>
    <s v="technology/wearables"/>
    <m/>
    <x v="2"/>
    <s v="wearables"/>
  </r>
  <r>
    <n v="719"/>
    <s v="Pace, Simpson and Watkins"/>
    <s v="Down-sized uniform ability"/>
    <n v="6900"/>
    <n v="10557"/>
    <x v="1"/>
    <n v="123"/>
    <x v="1"/>
    <s v="USD"/>
    <n v="1338267600"/>
    <n v="1339218000"/>
    <b v="0"/>
    <b v="0"/>
    <s v="publishing/fiction"/>
    <m/>
    <x v="5"/>
    <s v="fiction"/>
  </r>
  <r>
    <n v="720"/>
    <s v="Valenzuela, Davidson and Castro"/>
    <s v="Multi-layered upward-trending conglomeration"/>
    <n v="8700"/>
    <n v="3227"/>
    <x v="3"/>
    <n v="38"/>
    <x v="3"/>
    <s v="DKK"/>
    <n v="1519192800"/>
    <n v="1520402400"/>
    <b v="0"/>
    <b v="1"/>
    <s v="theater/plays"/>
    <m/>
    <x v="3"/>
    <s v="plays"/>
  </r>
  <r>
    <n v="721"/>
    <s v="Dominguez-Owens"/>
    <s v="Open-architected systematic intranet"/>
    <n v="123600"/>
    <n v="5429"/>
    <x v="3"/>
    <n v="60"/>
    <x v="1"/>
    <s v="USD"/>
    <n v="1522818000"/>
    <n v="1523336400"/>
    <b v="0"/>
    <b v="0"/>
    <s v="music/rock"/>
    <m/>
    <x v="1"/>
    <s v="rock"/>
  </r>
  <r>
    <n v="722"/>
    <s v="Thomas-Simmons"/>
    <s v="Proactive 24hour frame"/>
    <n v="48500"/>
    <n v="75906"/>
    <x v="1"/>
    <n v="3036"/>
    <x v="1"/>
    <s v="USD"/>
    <n v="1509948000"/>
    <n v="1512280800"/>
    <b v="0"/>
    <b v="0"/>
    <s v="film &amp; video/documentary"/>
    <m/>
    <x v="4"/>
    <s v="documentary"/>
  </r>
  <r>
    <n v="723"/>
    <s v="Beck-Knight"/>
    <s v="Exclusive fresh-thinking model"/>
    <n v="4900"/>
    <n v="13250"/>
    <x v="1"/>
    <n v="144"/>
    <x v="2"/>
    <s v="AUD"/>
    <n v="1456898400"/>
    <n v="1458709200"/>
    <b v="0"/>
    <b v="0"/>
    <s v="theater/plays"/>
    <m/>
    <x v="3"/>
    <s v="plays"/>
  </r>
  <r>
    <n v="724"/>
    <s v="Mccoy Ltd"/>
    <s v="Business-focused encompassing intranet"/>
    <n v="8400"/>
    <n v="11261"/>
    <x v="1"/>
    <n v="121"/>
    <x v="4"/>
    <s v="GBP"/>
    <n v="1413954000"/>
    <n v="1414126800"/>
    <b v="0"/>
    <b v="1"/>
    <s v="theater/plays"/>
    <m/>
    <x v="3"/>
    <s v="plays"/>
  </r>
  <r>
    <n v="725"/>
    <s v="Dawson-Tyler"/>
    <s v="Optional 6thgeneration access"/>
    <n v="193200"/>
    <n v="97369"/>
    <x v="0"/>
    <n v="1596"/>
    <x v="1"/>
    <s v="USD"/>
    <n v="1416031200"/>
    <n v="1416204000"/>
    <b v="0"/>
    <b v="0"/>
    <s v="games/mobile games"/>
    <m/>
    <x v="6"/>
    <s v="mobile games"/>
  </r>
  <r>
    <n v="726"/>
    <s v="Johns-Thomas"/>
    <s v="Realigned web-enabled functionalities"/>
    <n v="54300"/>
    <n v="48227"/>
    <x v="3"/>
    <n v="524"/>
    <x v="1"/>
    <s v="USD"/>
    <n v="1287982800"/>
    <n v="1288501200"/>
    <b v="0"/>
    <b v="1"/>
    <s v="theater/plays"/>
    <m/>
    <x v="3"/>
    <s v="plays"/>
  </r>
  <r>
    <n v="727"/>
    <s v="Quinn, Cruz and Schmidt"/>
    <s v="Enterprise-wide multimedia software"/>
    <n v="8900"/>
    <n v="14685"/>
    <x v="1"/>
    <n v="181"/>
    <x v="1"/>
    <s v="USD"/>
    <n v="1547964000"/>
    <n v="1552971600"/>
    <b v="0"/>
    <b v="0"/>
    <s v="technology/web"/>
    <m/>
    <x v="2"/>
    <s v="web"/>
  </r>
  <r>
    <n v="728"/>
    <s v="Stewart Inc"/>
    <s v="Versatile mission-critical knowledgebase"/>
    <n v="4200"/>
    <n v="735"/>
    <x v="0"/>
    <n v="10"/>
    <x v="1"/>
    <s v="USD"/>
    <n v="1464152400"/>
    <n v="1465102800"/>
    <b v="0"/>
    <b v="0"/>
    <s v="theater/plays"/>
    <m/>
    <x v="3"/>
    <s v="plays"/>
  </r>
  <r>
    <n v="729"/>
    <s v="Moore Group"/>
    <s v="Multi-lateral object-oriented open system"/>
    <n v="5600"/>
    <n v="10397"/>
    <x v="1"/>
    <n v="122"/>
    <x v="1"/>
    <s v="USD"/>
    <n v="1359957600"/>
    <n v="1360130400"/>
    <b v="0"/>
    <b v="0"/>
    <s v="film &amp; video/drama"/>
    <m/>
    <x v="4"/>
    <s v="drama"/>
  </r>
  <r>
    <n v="730"/>
    <s v="Carson PLC"/>
    <s v="Visionary system-worthy attitude"/>
    <n v="28800"/>
    <n v="118847"/>
    <x v="1"/>
    <n v="1071"/>
    <x v="0"/>
    <s v="CAD"/>
    <n v="1432357200"/>
    <n v="1432875600"/>
    <b v="0"/>
    <b v="0"/>
    <s v="technology/wearables"/>
    <m/>
    <x v="2"/>
    <s v="wearables"/>
  </r>
  <r>
    <n v="731"/>
    <s v="Cruz, Hall and Mason"/>
    <s v="Synergized content-based hierarchy"/>
    <n v="8000"/>
    <n v="7220"/>
    <x v="3"/>
    <n v="219"/>
    <x v="1"/>
    <s v="USD"/>
    <n v="1500786000"/>
    <n v="1500872400"/>
    <b v="0"/>
    <b v="0"/>
    <s v="technology/web"/>
    <m/>
    <x v="2"/>
    <s v="web"/>
  </r>
  <r>
    <n v="732"/>
    <s v="Glass, Baker and Jones"/>
    <s v="Business-focused 24hour access"/>
    <n v="117000"/>
    <n v="107622"/>
    <x v="0"/>
    <n v="1121"/>
    <x v="1"/>
    <s v="USD"/>
    <n v="1490158800"/>
    <n v="1492146000"/>
    <b v="0"/>
    <b v="1"/>
    <s v="music/rock"/>
    <m/>
    <x v="1"/>
    <s v="rock"/>
  </r>
  <r>
    <n v="733"/>
    <s v="Marquez-Kerr"/>
    <s v="Automated hybrid orchestration"/>
    <n v="15800"/>
    <n v="83267"/>
    <x v="1"/>
    <n v="980"/>
    <x v="1"/>
    <s v="USD"/>
    <n v="1406178000"/>
    <n v="1407301200"/>
    <b v="0"/>
    <b v="0"/>
    <s v="music/metal"/>
    <m/>
    <x v="1"/>
    <s v="metal"/>
  </r>
  <r>
    <n v="734"/>
    <s v="Stone PLC"/>
    <s v="Exclusive 5thgeneration leverage"/>
    <n v="4200"/>
    <n v="13404"/>
    <x v="1"/>
    <n v="536"/>
    <x v="1"/>
    <s v="USD"/>
    <n v="1485583200"/>
    <n v="1486620000"/>
    <b v="0"/>
    <b v="1"/>
    <s v="theater/plays"/>
    <m/>
    <x v="3"/>
    <s v="plays"/>
  </r>
  <r>
    <n v="735"/>
    <s v="Caldwell PLC"/>
    <s v="Grass-roots zero administration alliance"/>
    <n v="37100"/>
    <n v="131404"/>
    <x v="1"/>
    <n v="1991"/>
    <x v="1"/>
    <s v="USD"/>
    <n v="1459314000"/>
    <n v="1459918800"/>
    <b v="0"/>
    <b v="0"/>
    <s v="photography/photography books"/>
    <m/>
    <x v="7"/>
    <s v="photography books"/>
  </r>
  <r>
    <n v="736"/>
    <s v="Silva-Hawkins"/>
    <s v="Proactive heuristic orchestration"/>
    <n v="7700"/>
    <n v="2533"/>
    <x v="3"/>
    <n v="29"/>
    <x v="1"/>
    <s v="USD"/>
    <n v="1424412000"/>
    <n v="1424757600"/>
    <b v="0"/>
    <b v="0"/>
    <s v="publishing/nonfiction"/>
    <m/>
    <x v="5"/>
    <s v="nonfiction"/>
  </r>
  <r>
    <n v="737"/>
    <s v="Gardner Inc"/>
    <s v="Function-based systematic Graphical User Interface"/>
    <n v="3700"/>
    <n v="5028"/>
    <x v="1"/>
    <n v="180"/>
    <x v="1"/>
    <s v="USD"/>
    <n v="1478844000"/>
    <n v="1479880800"/>
    <b v="0"/>
    <b v="0"/>
    <s v="music/indie rock"/>
    <m/>
    <x v="1"/>
    <s v="indie rock"/>
  </r>
  <r>
    <n v="738"/>
    <s v="Garcia Group"/>
    <s v="Extended zero administration software"/>
    <n v="74700"/>
    <n v="1557"/>
    <x v="0"/>
    <n v="15"/>
    <x v="1"/>
    <s v="USD"/>
    <n v="1416117600"/>
    <n v="1418018400"/>
    <b v="0"/>
    <b v="1"/>
    <s v="theater/plays"/>
    <m/>
    <x v="3"/>
    <s v="plays"/>
  </r>
  <r>
    <n v="739"/>
    <s v="Meyer-Avila"/>
    <s v="Multi-tiered discrete support"/>
    <n v="10000"/>
    <n v="6100"/>
    <x v="0"/>
    <n v="191"/>
    <x v="1"/>
    <s v="USD"/>
    <n v="1340946000"/>
    <n v="1341032400"/>
    <b v="0"/>
    <b v="0"/>
    <s v="music/indie rock"/>
    <m/>
    <x v="1"/>
    <s v="indie rock"/>
  </r>
  <r>
    <n v="740"/>
    <s v="Nelson, Smith and Graham"/>
    <s v="Phased system-worthy conglomeration"/>
    <n v="5300"/>
    <n v="1592"/>
    <x v="0"/>
    <n v="16"/>
    <x v="1"/>
    <s v="USD"/>
    <n v="1486101600"/>
    <n v="1486360800"/>
    <b v="0"/>
    <b v="0"/>
    <s v="theater/plays"/>
    <m/>
    <x v="3"/>
    <s v="plays"/>
  </r>
  <r>
    <n v="741"/>
    <s v="Garcia Ltd"/>
    <s v="Balanced mobile alliance"/>
    <n v="1200"/>
    <n v="14150"/>
    <x v="1"/>
    <n v="130"/>
    <x v="1"/>
    <s v="USD"/>
    <n v="1274590800"/>
    <n v="1274677200"/>
    <b v="0"/>
    <b v="0"/>
    <s v="theater/plays"/>
    <m/>
    <x v="3"/>
    <s v="plays"/>
  </r>
  <r>
    <n v="742"/>
    <s v="West-Stevens"/>
    <s v="Reactive solution-oriented groupware"/>
    <n v="1200"/>
    <n v="13513"/>
    <x v="1"/>
    <n v="122"/>
    <x v="1"/>
    <s v="USD"/>
    <n v="1263880800"/>
    <n v="1267509600"/>
    <b v="0"/>
    <b v="0"/>
    <s v="music/electric music"/>
    <m/>
    <x v="1"/>
    <s v="electric music"/>
  </r>
  <r>
    <n v="743"/>
    <s v="Clark-Conrad"/>
    <s v="Exclusive bandwidth-monitored orchestration"/>
    <n v="3900"/>
    <n v="504"/>
    <x v="0"/>
    <n v="17"/>
    <x v="1"/>
    <s v="USD"/>
    <n v="1445403600"/>
    <n v="1445922000"/>
    <b v="0"/>
    <b v="1"/>
    <s v="theater/plays"/>
    <m/>
    <x v="3"/>
    <s v="plays"/>
  </r>
  <r>
    <n v="744"/>
    <s v="Fitzgerald Group"/>
    <s v="Intuitive exuding initiative"/>
    <n v="2000"/>
    <n v="14240"/>
    <x v="1"/>
    <n v="140"/>
    <x v="1"/>
    <s v="USD"/>
    <n v="1533877200"/>
    <n v="1534050000"/>
    <b v="0"/>
    <b v="1"/>
    <s v="theater/plays"/>
    <m/>
    <x v="3"/>
    <s v="plays"/>
  </r>
  <r>
    <n v="745"/>
    <s v="Hill, Mccann and Moore"/>
    <s v="Streamlined needs-based knowledge user"/>
    <n v="6900"/>
    <n v="2091"/>
    <x v="0"/>
    <n v="34"/>
    <x v="1"/>
    <s v="USD"/>
    <n v="1275195600"/>
    <n v="1277528400"/>
    <b v="0"/>
    <b v="0"/>
    <s v="technology/wearables"/>
    <m/>
    <x v="2"/>
    <s v="wearables"/>
  </r>
  <r>
    <n v="746"/>
    <s v="Edwards LLC"/>
    <s v="Automated system-worthy structure"/>
    <n v="55800"/>
    <n v="118580"/>
    <x v="1"/>
    <n v="3388"/>
    <x v="1"/>
    <s v="USD"/>
    <n v="1318136400"/>
    <n v="1318568400"/>
    <b v="0"/>
    <b v="0"/>
    <s v="technology/web"/>
    <m/>
    <x v="2"/>
    <s v="web"/>
  </r>
  <r>
    <n v="747"/>
    <s v="Greer and Sons"/>
    <s v="Secured clear-thinking intranet"/>
    <n v="4900"/>
    <n v="11214"/>
    <x v="1"/>
    <n v="280"/>
    <x v="1"/>
    <s v="USD"/>
    <n v="1283403600"/>
    <n v="1284354000"/>
    <b v="0"/>
    <b v="0"/>
    <s v="theater/plays"/>
    <m/>
    <x v="3"/>
    <s v="plays"/>
  </r>
  <r>
    <n v="748"/>
    <s v="Martinez PLC"/>
    <s v="Cloned actuating architecture"/>
    <n v="194900"/>
    <n v="68137"/>
    <x v="3"/>
    <n v="614"/>
    <x v="1"/>
    <s v="USD"/>
    <n v="1267423200"/>
    <n v="1269579600"/>
    <b v="0"/>
    <b v="1"/>
    <s v="film &amp; video/animation"/>
    <m/>
    <x v="4"/>
    <s v="animation"/>
  </r>
  <r>
    <n v="749"/>
    <s v="Hunter-Logan"/>
    <s v="Down-sized needs-based task-force"/>
    <n v="8600"/>
    <n v="13527"/>
    <x v="1"/>
    <n v="366"/>
    <x v="6"/>
    <s v="EUR"/>
    <n v="1412744400"/>
    <n v="1413781200"/>
    <b v="0"/>
    <b v="1"/>
    <s v="technology/wearables"/>
    <m/>
    <x v="2"/>
    <s v="wearables"/>
  </r>
  <r>
    <n v="750"/>
    <s v="Ramos and Sons"/>
    <s v="Extended responsive Internet solution"/>
    <n v="100"/>
    <n v="1"/>
    <x v="0"/>
    <n v="1"/>
    <x v="4"/>
    <s v="GBP"/>
    <n v="1277960400"/>
    <n v="1280120400"/>
    <b v="0"/>
    <b v="0"/>
    <s v="music/electric music"/>
    <m/>
    <x v="1"/>
    <s v="electric music"/>
  </r>
  <r>
    <n v="751"/>
    <s v="Lane-Barber"/>
    <s v="Universal value-added moderator"/>
    <n v="3600"/>
    <n v="8363"/>
    <x v="1"/>
    <n v="270"/>
    <x v="1"/>
    <s v="USD"/>
    <n v="1458190800"/>
    <n v="1459486800"/>
    <b v="1"/>
    <b v="1"/>
    <s v="publishing/nonfiction"/>
    <m/>
    <x v="5"/>
    <s v="nonfiction"/>
  </r>
  <r>
    <n v="752"/>
    <s v="Lowery Group"/>
    <s v="Sharable motivating emulation"/>
    <n v="5800"/>
    <n v="5362"/>
    <x v="3"/>
    <n v="114"/>
    <x v="1"/>
    <s v="USD"/>
    <n v="1280984400"/>
    <n v="1282539600"/>
    <b v="0"/>
    <b v="1"/>
    <s v="theater/plays"/>
    <m/>
    <x v="3"/>
    <s v="plays"/>
  </r>
  <r>
    <n v="753"/>
    <s v="Guerrero-Griffin"/>
    <s v="Networked web-enabled product"/>
    <n v="4700"/>
    <n v="12065"/>
    <x v="1"/>
    <n v="137"/>
    <x v="1"/>
    <s v="USD"/>
    <n v="1274590800"/>
    <n v="1275886800"/>
    <b v="0"/>
    <b v="0"/>
    <s v="photography/photography books"/>
    <m/>
    <x v="7"/>
    <s v="photography books"/>
  </r>
  <r>
    <n v="754"/>
    <s v="Perez, Reed and Lee"/>
    <s v="Advanced dedicated encoding"/>
    <n v="70400"/>
    <n v="118603"/>
    <x v="1"/>
    <n v="3205"/>
    <x v="1"/>
    <s v="USD"/>
    <n v="1351400400"/>
    <n v="1355983200"/>
    <b v="0"/>
    <b v="0"/>
    <s v="theater/plays"/>
    <m/>
    <x v="3"/>
    <s v="plays"/>
  </r>
  <r>
    <n v="755"/>
    <s v="Chen, Pollard and Clarke"/>
    <s v="Stand-alone multi-state project"/>
    <n v="4500"/>
    <n v="7496"/>
    <x v="1"/>
    <n v="288"/>
    <x v="3"/>
    <s v="DKK"/>
    <n v="1514354400"/>
    <n v="1515391200"/>
    <b v="0"/>
    <b v="1"/>
    <s v="theater/plays"/>
    <m/>
    <x v="3"/>
    <s v="plays"/>
  </r>
  <r>
    <n v="756"/>
    <s v="Serrano, Gallagher and Griffith"/>
    <s v="Customizable bi-directional monitoring"/>
    <n v="1300"/>
    <n v="10037"/>
    <x v="1"/>
    <n v="148"/>
    <x v="1"/>
    <s v="USD"/>
    <n v="1421733600"/>
    <n v="1422252000"/>
    <b v="0"/>
    <b v="0"/>
    <s v="theater/plays"/>
    <m/>
    <x v="3"/>
    <s v="plays"/>
  </r>
  <r>
    <n v="757"/>
    <s v="Callahan-Gilbert"/>
    <s v="Profit-focused motivating function"/>
    <n v="1400"/>
    <n v="5696"/>
    <x v="1"/>
    <n v="114"/>
    <x v="1"/>
    <s v="USD"/>
    <n v="1305176400"/>
    <n v="1305522000"/>
    <b v="0"/>
    <b v="0"/>
    <s v="film &amp; video/drama"/>
    <m/>
    <x v="4"/>
    <s v="drama"/>
  </r>
  <r>
    <n v="758"/>
    <s v="Logan-Miranda"/>
    <s v="Proactive systemic firmware"/>
    <n v="29600"/>
    <n v="167005"/>
    <x v="1"/>
    <n v="1518"/>
    <x v="0"/>
    <s v="CAD"/>
    <n v="1414126800"/>
    <n v="1414904400"/>
    <b v="0"/>
    <b v="0"/>
    <s v="music/rock"/>
    <m/>
    <x v="1"/>
    <s v="rock"/>
  </r>
  <r>
    <n v="759"/>
    <s v="Rodriguez PLC"/>
    <s v="Grass-roots upward-trending installation"/>
    <n v="167500"/>
    <n v="114615"/>
    <x v="0"/>
    <n v="1274"/>
    <x v="1"/>
    <s v="USD"/>
    <n v="1517810400"/>
    <n v="1520402400"/>
    <b v="0"/>
    <b v="0"/>
    <s v="music/electric music"/>
    <m/>
    <x v="1"/>
    <s v="electric music"/>
  </r>
  <r>
    <n v="760"/>
    <s v="Smith-Kennedy"/>
    <s v="Virtual heuristic hub"/>
    <n v="48300"/>
    <n v="16592"/>
    <x v="0"/>
    <n v="210"/>
    <x v="6"/>
    <s v="EUR"/>
    <n v="1564635600"/>
    <n v="1567141200"/>
    <b v="0"/>
    <b v="1"/>
    <s v="games/video games"/>
    <m/>
    <x v="6"/>
    <s v="video games"/>
  </r>
  <r>
    <n v="761"/>
    <s v="Mitchell-Lee"/>
    <s v="Customizable leadingedge model"/>
    <n v="2200"/>
    <n v="14420"/>
    <x v="1"/>
    <n v="166"/>
    <x v="1"/>
    <s v="USD"/>
    <n v="1500699600"/>
    <n v="1501131600"/>
    <b v="0"/>
    <b v="0"/>
    <s v="music/rock"/>
    <m/>
    <x v="1"/>
    <s v="rock"/>
  </r>
  <r>
    <n v="762"/>
    <s v="Davis Ltd"/>
    <s v="Upgradable uniform service-desk"/>
    <n v="3500"/>
    <n v="6204"/>
    <x v="1"/>
    <n v="100"/>
    <x v="2"/>
    <s v="AUD"/>
    <n v="1354082400"/>
    <n v="1355032800"/>
    <b v="0"/>
    <b v="0"/>
    <s v="music/jazz"/>
    <m/>
    <x v="1"/>
    <s v="jazz"/>
  </r>
  <r>
    <n v="763"/>
    <s v="Rowland PLC"/>
    <s v="Inverse client-driven product"/>
    <n v="5600"/>
    <n v="6338"/>
    <x v="1"/>
    <n v="235"/>
    <x v="1"/>
    <s v="USD"/>
    <n v="1336453200"/>
    <n v="1339477200"/>
    <b v="0"/>
    <b v="1"/>
    <s v="theater/plays"/>
    <m/>
    <x v="3"/>
    <s v="plays"/>
  </r>
  <r>
    <n v="764"/>
    <s v="Shaffer-Mason"/>
    <s v="Managed bandwidth-monitored system engine"/>
    <n v="1100"/>
    <n v="8010"/>
    <x v="1"/>
    <n v="148"/>
    <x v="1"/>
    <s v="USD"/>
    <n v="1305262800"/>
    <n v="1305954000"/>
    <b v="0"/>
    <b v="0"/>
    <s v="music/rock"/>
    <m/>
    <x v="1"/>
    <s v="rock"/>
  </r>
  <r>
    <n v="765"/>
    <s v="Matthews LLC"/>
    <s v="Advanced transitional help-desk"/>
    <n v="3900"/>
    <n v="8125"/>
    <x v="1"/>
    <n v="198"/>
    <x v="1"/>
    <s v="USD"/>
    <n v="1492232400"/>
    <n v="1494392400"/>
    <b v="1"/>
    <b v="1"/>
    <s v="music/indie rock"/>
    <m/>
    <x v="1"/>
    <s v="indie rock"/>
  </r>
  <r>
    <n v="766"/>
    <s v="Montgomery-Castro"/>
    <s v="De-engineered disintermediate encryption"/>
    <n v="43800"/>
    <n v="13653"/>
    <x v="0"/>
    <n v="248"/>
    <x v="2"/>
    <s v="AUD"/>
    <n v="1537333200"/>
    <n v="1537419600"/>
    <b v="0"/>
    <b v="0"/>
    <s v="film &amp; video/science fiction"/>
    <m/>
    <x v="4"/>
    <s v="science fiction"/>
  </r>
  <r>
    <n v="767"/>
    <s v="Hale, Pearson and Jenkins"/>
    <s v="Upgradable attitude-oriented project"/>
    <n v="97200"/>
    <n v="55372"/>
    <x v="0"/>
    <n v="513"/>
    <x v="1"/>
    <s v="USD"/>
    <n v="1444107600"/>
    <n v="1447999200"/>
    <b v="0"/>
    <b v="0"/>
    <s v="publishing/translations"/>
    <m/>
    <x v="5"/>
    <s v="translations"/>
  </r>
  <r>
    <n v="768"/>
    <s v="Ramirez-Calderon"/>
    <s v="Fundamental zero tolerance alliance"/>
    <n v="4800"/>
    <n v="11088"/>
    <x v="1"/>
    <n v="150"/>
    <x v="1"/>
    <s v="USD"/>
    <n v="1386741600"/>
    <n v="1388037600"/>
    <b v="0"/>
    <b v="0"/>
    <s v="theater/plays"/>
    <m/>
    <x v="3"/>
    <s v="plays"/>
  </r>
  <r>
    <n v="769"/>
    <s v="Johnson-Morales"/>
    <s v="Devolved 24hour forecast"/>
    <n v="125600"/>
    <n v="109106"/>
    <x v="0"/>
    <n v="3410"/>
    <x v="1"/>
    <s v="USD"/>
    <n v="1376542800"/>
    <n v="1378789200"/>
    <b v="0"/>
    <b v="0"/>
    <s v="games/video games"/>
    <m/>
    <x v="6"/>
    <s v="video games"/>
  </r>
  <r>
    <n v="770"/>
    <s v="Mathis-Rodriguez"/>
    <s v="User-centric attitude-oriented intranet"/>
    <n v="4300"/>
    <n v="11642"/>
    <x v="1"/>
    <n v="216"/>
    <x v="6"/>
    <s v="EUR"/>
    <n v="1397451600"/>
    <n v="1398056400"/>
    <b v="0"/>
    <b v="1"/>
    <s v="theater/plays"/>
    <m/>
    <x v="3"/>
    <s v="plays"/>
  </r>
  <r>
    <n v="771"/>
    <s v="Smith, Mack and Williams"/>
    <s v="Self-enabling 5thgeneration paradigm"/>
    <n v="5600"/>
    <n v="2769"/>
    <x v="3"/>
    <n v="26"/>
    <x v="1"/>
    <s v="USD"/>
    <n v="1548482400"/>
    <n v="1550815200"/>
    <b v="0"/>
    <b v="0"/>
    <s v="theater/plays"/>
    <m/>
    <x v="3"/>
    <s v="plays"/>
  </r>
  <r>
    <n v="772"/>
    <s v="Johnson-Pace"/>
    <s v="Persistent 3rdgeneration moratorium"/>
    <n v="149600"/>
    <n v="169586"/>
    <x v="1"/>
    <n v="5139"/>
    <x v="1"/>
    <s v="USD"/>
    <n v="1549692000"/>
    <n v="1550037600"/>
    <b v="0"/>
    <b v="0"/>
    <s v="music/indie rock"/>
    <m/>
    <x v="1"/>
    <s v="indie rock"/>
  </r>
  <r>
    <n v="773"/>
    <s v="Meza, Kirby and Patel"/>
    <s v="Cross-platform empowering project"/>
    <n v="53100"/>
    <n v="101185"/>
    <x v="1"/>
    <n v="2353"/>
    <x v="1"/>
    <s v="USD"/>
    <n v="1492059600"/>
    <n v="1492923600"/>
    <b v="0"/>
    <b v="0"/>
    <s v="theater/plays"/>
    <m/>
    <x v="3"/>
    <s v="plays"/>
  </r>
  <r>
    <n v="774"/>
    <s v="Gonzalez-Snow"/>
    <s v="Polarized user-facing interface"/>
    <n v="5000"/>
    <n v="6775"/>
    <x v="1"/>
    <n v="78"/>
    <x v="6"/>
    <s v="EUR"/>
    <n v="1463979600"/>
    <n v="1467522000"/>
    <b v="0"/>
    <b v="0"/>
    <s v="technology/web"/>
    <m/>
    <x v="2"/>
    <s v="web"/>
  </r>
  <r>
    <n v="775"/>
    <s v="Murphy LLC"/>
    <s v="Customer-focused non-volatile framework"/>
    <n v="9400"/>
    <n v="968"/>
    <x v="0"/>
    <n v="10"/>
    <x v="1"/>
    <s v="USD"/>
    <n v="1415253600"/>
    <n v="1416117600"/>
    <b v="0"/>
    <b v="0"/>
    <s v="music/rock"/>
    <m/>
    <x v="1"/>
    <s v="rock"/>
  </r>
  <r>
    <n v="776"/>
    <s v="Taylor-Rowe"/>
    <s v="Synchronized multimedia frame"/>
    <n v="110800"/>
    <n v="72623"/>
    <x v="0"/>
    <n v="2201"/>
    <x v="1"/>
    <s v="USD"/>
    <n v="1562216400"/>
    <n v="1563771600"/>
    <b v="0"/>
    <b v="0"/>
    <s v="theater/plays"/>
    <m/>
    <x v="3"/>
    <s v="plays"/>
  </r>
  <r>
    <n v="777"/>
    <s v="Henderson Ltd"/>
    <s v="Open-architected stable algorithm"/>
    <n v="93800"/>
    <n v="45987"/>
    <x v="0"/>
    <n v="676"/>
    <x v="1"/>
    <s v="USD"/>
    <n v="1316754000"/>
    <n v="1319259600"/>
    <b v="0"/>
    <b v="0"/>
    <s v="theater/plays"/>
    <m/>
    <x v="3"/>
    <s v="plays"/>
  </r>
  <r>
    <n v="778"/>
    <s v="Moss-Guzman"/>
    <s v="Cross-platform optimizing website"/>
    <n v="1300"/>
    <n v="10243"/>
    <x v="1"/>
    <n v="174"/>
    <x v="5"/>
    <s v="CHF"/>
    <n v="1313211600"/>
    <n v="1313643600"/>
    <b v="0"/>
    <b v="0"/>
    <s v="film &amp; video/animation"/>
    <m/>
    <x v="4"/>
    <s v="animation"/>
  </r>
  <r>
    <n v="779"/>
    <s v="Webb Group"/>
    <s v="Public-key actuating projection"/>
    <n v="108700"/>
    <n v="87293"/>
    <x v="0"/>
    <n v="831"/>
    <x v="1"/>
    <s v="USD"/>
    <n v="1439528400"/>
    <n v="1440306000"/>
    <b v="0"/>
    <b v="1"/>
    <s v="theater/plays"/>
    <m/>
    <x v="3"/>
    <s v="plays"/>
  </r>
  <r>
    <n v="780"/>
    <s v="Brooks-Rodriguez"/>
    <s v="Implemented intangible instruction set"/>
    <n v="5100"/>
    <n v="5421"/>
    <x v="1"/>
    <n v="164"/>
    <x v="1"/>
    <s v="USD"/>
    <n v="1469163600"/>
    <n v="1470805200"/>
    <b v="0"/>
    <b v="1"/>
    <s v="film &amp; video/drama"/>
    <m/>
    <x v="4"/>
    <s v="drama"/>
  </r>
  <r>
    <n v="781"/>
    <s v="Thomas Ltd"/>
    <s v="Cross-group interactive architecture"/>
    <n v="8700"/>
    <n v="4414"/>
    <x v="3"/>
    <n v="56"/>
    <x v="5"/>
    <s v="CHF"/>
    <n v="1288501200"/>
    <n v="1292911200"/>
    <b v="0"/>
    <b v="0"/>
    <s v="theater/plays"/>
    <m/>
    <x v="3"/>
    <s v="plays"/>
  </r>
  <r>
    <n v="782"/>
    <s v="Williams and Sons"/>
    <s v="Centralized asymmetric framework"/>
    <n v="5100"/>
    <n v="10981"/>
    <x v="1"/>
    <n v="161"/>
    <x v="1"/>
    <s v="USD"/>
    <n v="1298959200"/>
    <n v="1301374800"/>
    <b v="0"/>
    <b v="1"/>
    <s v="film &amp; video/animation"/>
    <m/>
    <x v="4"/>
    <s v="animation"/>
  </r>
  <r>
    <n v="783"/>
    <s v="Vega, Chan and Carney"/>
    <s v="Down-sized systematic utilization"/>
    <n v="7400"/>
    <n v="10451"/>
    <x v="1"/>
    <n v="138"/>
    <x v="1"/>
    <s v="USD"/>
    <n v="1387260000"/>
    <n v="1387864800"/>
    <b v="0"/>
    <b v="0"/>
    <s v="music/rock"/>
    <m/>
    <x v="1"/>
    <s v="rock"/>
  </r>
  <r>
    <n v="784"/>
    <s v="Byrd Group"/>
    <s v="Profound fault-tolerant model"/>
    <n v="88900"/>
    <n v="102535"/>
    <x v="1"/>
    <n v="3308"/>
    <x v="1"/>
    <s v="USD"/>
    <n v="1457244000"/>
    <n v="1458190800"/>
    <b v="0"/>
    <b v="0"/>
    <s v="technology/web"/>
    <m/>
    <x v="2"/>
    <s v="web"/>
  </r>
  <r>
    <n v="785"/>
    <s v="Peterson, Fletcher and Sanchez"/>
    <s v="Multi-channeled bi-directional moratorium"/>
    <n v="6700"/>
    <n v="12939"/>
    <x v="1"/>
    <n v="127"/>
    <x v="2"/>
    <s v="AUD"/>
    <n v="1556341200"/>
    <n v="1559278800"/>
    <b v="0"/>
    <b v="1"/>
    <s v="film &amp; video/animation"/>
    <m/>
    <x v="4"/>
    <s v="animation"/>
  </r>
  <r>
    <n v="786"/>
    <s v="Smith-Brown"/>
    <s v="Object-based content-based ability"/>
    <n v="1500"/>
    <n v="10946"/>
    <x v="1"/>
    <n v="207"/>
    <x v="6"/>
    <s v="EUR"/>
    <n v="1522126800"/>
    <n v="1522731600"/>
    <b v="0"/>
    <b v="1"/>
    <s v="music/jazz"/>
    <m/>
    <x v="1"/>
    <s v="jazz"/>
  </r>
  <r>
    <n v="787"/>
    <s v="Vance-Glover"/>
    <s v="Progressive coherent secured line"/>
    <n v="61200"/>
    <n v="60994"/>
    <x v="0"/>
    <n v="859"/>
    <x v="0"/>
    <s v="CAD"/>
    <n v="1305954000"/>
    <n v="1306731600"/>
    <b v="0"/>
    <b v="0"/>
    <s v="music/rock"/>
    <m/>
    <x v="1"/>
    <s v="rock"/>
  </r>
  <r>
    <n v="788"/>
    <s v="Joyce PLC"/>
    <s v="Synchronized directional capability"/>
    <n v="3600"/>
    <n v="3174"/>
    <x v="2"/>
    <n v="31"/>
    <x v="1"/>
    <s v="USD"/>
    <n v="1350709200"/>
    <n v="1352527200"/>
    <b v="0"/>
    <b v="0"/>
    <s v="film &amp; video/animation"/>
    <m/>
    <x v="4"/>
    <s v="animation"/>
  </r>
  <r>
    <n v="789"/>
    <s v="Kennedy-Miller"/>
    <s v="Cross-platform composite migration"/>
    <n v="9000"/>
    <n v="3351"/>
    <x v="0"/>
    <n v="45"/>
    <x v="1"/>
    <s v="USD"/>
    <n v="1401166800"/>
    <n v="1404363600"/>
    <b v="0"/>
    <b v="0"/>
    <s v="theater/plays"/>
    <m/>
    <x v="3"/>
    <s v="plays"/>
  </r>
  <r>
    <n v="790"/>
    <s v="White-Obrien"/>
    <s v="Operative local pricing structure"/>
    <n v="185900"/>
    <n v="56774"/>
    <x v="3"/>
    <n v="1113"/>
    <x v="1"/>
    <s v="USD"/>
    <n v="1266127200"/>
    <n v="1266645600"/>
    <b v="0"/>
    <b v="0"/>
    <s v="theater/plays"/>
    <m/>
    <x v="3"/>
    <s v="plays"/>
  </r>
  <r>
    <n v="791"/>
    <s v="Stafford, Hess and Raymond"/>
    <s v="Optional web-enabled extranet"/>
    <n v="2100"/>
    <n v="540"/>
    <x v="0"/>
    <n v="6"/>
    <x v="1"/>
    <s v="USD"/>
    <n v="1481436000"/>
    <n v="1482818400"/>
    <b v="0"/>
    <b v="0"/>
    <s v="food/food trucks"/>
    <m/>
    <x v="0"/>
    <s v="food trucks"/>
  </r>
  <r>
    <n v="792"/>
    <s v="Jordan, Schneider and Hall"/>
    <s v="Reduced 6thgeneration intranet"/>
    <n v="2000"/>
    <n v="680"/>
    <x v="0"/>
    <n v="7"/>
    <x v="1"/>
    <s v="USD"/>
    <n v="1372222800"/>
    <n v="1374642000"/>
    <b v="0"/>
    <b v="1"/>
    <s v="theater/plays"/>
    <m/>
    <x v="3"/>
    <s v="plays"/>
  </r>
  <r>
    <n v="793"/>
    <s v="Rodriguez, Cox and Rodriguez"/>
    <s v="Networked disintermediate leverage"/>
    <n v="1100"/>
    <n v="13045"/>
    <x v="1"/>
    <n v="181"/>
    <x v="5"/>
    <s v="CHF"/>
    <n v="1372136400"/>
    <n v="1372482000"/>
    <b v="0"/>
    <b v="0"/>
    <s v="publishing/nonfiction"/>
    <m/>
    <x v="5"/>
    <s v="nonfiction"/>
  </r>
  <r>
    <n v="794"/>
    <s v="Welch Inc"/>
    <s v="Optional optimal website"/>
    <n v="6600"/>
    <n v="8276"/>
    <x v="1"/>
    <n v="110"/>
    <x v="1"/>
    <s v="USD"/>
    <n v="1513922400"/>
    <n v="1514959200"/>
    <b v="0"/>
    <b v="0"/>
    <s v="music/rock"/>
    <m/>
    <x v="1"/>
    <s v="rock"/>
  </r>
  <r>
    <n v="795"/>
    <s v="Vasquez Inc"/>
    <s v="Stand-alone asynchronous functionalities"/>
    <n v="7100"/>
    <n v="1022"/>
    <x v="0"/>
    <n v="31"/>
    <x v="1"/>
    <s v="USD"/>
    <n v="1477976400"/>
    <n v="1478235600"/>
    <b v="0"/>
    <b v="0"/>
    <s v="film &amp; video/drama"/>
    <m/>
    <x v="4"/>
    <s v="drama"/>
  </r>
  <r>
    <n v="796"/>
    <s v="Freeman-Ferguson"/>
    <s v="Profound full-range open system"/>
    <n v="7800"/>
    <n v="4275"/>
    <x v="0"/>
    <n v="78"/>
    <x v="1"/>
    <s v="USD"/>
    <n v="1407474000"/>
    <n v="1408078800"/>
    <b v="0"/>
    <b v="1"/>
    <s v="games/mobile games"/>
    <m/>
    <x v="6"/>
    <s v="mobile games"/>
  </r>
  <r>
    <n v="797"/>
    <s v="Houston, Moore and Rogers"/>
    <s v="Optional tangible utilization"/>
    <n v="7600"/>
    <n v="8332"/>
    <x v="1"/>
    <n v="185"/>
    <x v="1"/>
    <s v="USD"/>
    <n v="1546149600"/>
    <n v="1548136800"/>
    <b v="0"/>
    <b v="0"/>
    <s v="technology/web"/>
    <m/>
    <x v="2"/>
    <s v="web"/>
  </r>
  <r>
    <n v="798"/>
    <s v="Small-Fuentes"/>
    <s v="Seamless maximized product"/>
    <n v="3400"/>
    <n v="6408"/>
    <x v="1"/>
    <n v="121"/>
    <x v="1"/>
    <s v="USD"/>
    <n v="1338440400"/>
    <n v="1340859600"/>
    <b v="0"/>
    <b v="1"/>
    <s v="theater/plays"/>
    <m/>
    <x v="3"/>
    <s v="plays"/>
  </r>
  <r>
    <n v="799"/>
    <s v="Reid-Day"/>
    <s v="Devolved tertiary time-frame"/>
    <n v="84500"/>
    <n v="73522"/>
    <x v="0"/>
    <n v="1225"/>
    <x v="4"/>
    <s v="GBP"/>
    <n v="1454133600"/>
    <n v="1454479200"/>
    <b v="0"/>
    <b v="0"/>
    <s v="theater/plays"/>
    <m/>
    <x v="3"/>
    <s v="plays"/>
  </r>
  <r>
    <n v="800"/>
    <s v="Wallace LLC"/>
    <s v="Centralized regional function"/>
    <n v="100"/>
    <n v="1"/>
    <x v="0"/>
    <n v="1"/>
    <x v="5"/>
    <s v="CHF"/>
    <n v="1434085200"/>
    <n v="1434430800"/>
    <b v="0"/>
    <b v="0"/>
    <s v="music/rock"/>
    <m/>
    <x v="1"/>
    <s v="rock"/>
  </r>
  <r>
    <n v="801"/>
    <s v="Olson-Bishop"/>
    <s v="User-friendly high-level initiative"/>
    <n v="2300"/>
    <n v="4667"/>
    <x v="1"/>
    <n v="106"/>
    <x v="1"/>
    <s v="USD"/>
    <n v="1577772000"/>
    <n v="1579672800"/>
    <b v="0"/>
    <b v="1"/>
    <s v="photography/photography books"/>
    <m/>
    <x v="7"/>
    <s v="photography books"/>
  </r>
  <r>
    <n v="802"/>
    <s v="Rodriguez, Anderson and Porter"/>
    <s v="Reverse-engineered zero-defect infrastructure"/>
    <n v="6200"/>
    <n v="12216"/>
    <x v="1"/>
    <n v="142"/>
    <x v="1"/>
    <s v="USD"/>
    <n v="1562216400"/>
    <n v="1562389200"/>
    <b v="0"/>
    <b v="0"/>
    <s v="photography/photography books"/>
    <m/>
    <x v="7"/>
    <s v="photography books"/>
  </r>
  <r>
    <n v="803"/>
    <s v="Perez, Brown and Meyers"/>
    <s v="Stand-alone background customer loyalty"/>
    <n v="6100"/>
    <n v="6527"/>
    <x v="1"/>
    <n v="233"/>
    <x v="1"/>
    <s v="USD"/>
    <n v="1548568800"/>
    <n v="1551506400"/>
    <b v="0"/>
    <b v="0"/>
    <s v="theater/plays"/>
    <m/>
    <x v="3"/>
    <s v="plays"/>
  </r>
  <r>
    <n v="804"/>
    <s v="English-Mccullough"/>
    <s v="Business-focused discrete software"/>
    <n v="2600"/>
    <n v="6987"/>
    <x v="1"/>
    <n v="218"/>
    <x v="1"/>
    <s v="USD"/>
    <n v="1514872800"/>
    <n v="1516600800"/>
    <b v="0"/>
    <b v="0"/>
    <s v="music/rock"/>
    <m/>
    <x v="1"/>
    <s v="rock"/>
  </r>
  <r>
    <n v="805"/>
    <s v="Smith-Nguyen"/>
    <s v="Advanced intermediate Graphic Interface"/>
    <n v="9700"/>
    <n v="4932"/>
    <x v="0"/>
    <n v="67"/>
    <x v="2"/>
    <s v="AUD"/>
    <n v="1416031200"/>
    <n v="1420437600"/>
    <b v="0"/>
    <b v="0"/>
    <s v="film &amp; video/documentary"/>
    <m/>
    <x v="4"/>
    <s v="documentary"/>
  </r>
  <r>
    <n v="806"/>
    <s v="Harmon-Madden"/>
    <s v="Adaptive holistic hub"/>
    <n v="700"/>
    <n v="8262"/>
    <x v="1"/>
    <n v="76"/>
    <x v="1"/>
    <s v="USD"/>
    <n v="1330927200"/>
    <n v="1332997200"/>
    <b v="0"/>
    <b v="1"/>
    <s v="film &amp; video/drama"/>
    <m/>
    <x v="4"/>
    <s v="drama"/>
  </r>
  <r>
    <n v="807"/>
    <s v="Walker-Taylor"/>
    <s v="Automated uniform concept"/>
    <n v="700"/>
    <n v="1848"/>
    <x v="1"/>
    <n v="43"/>
    <x v="1"/>
    <s v="USD"/>
    <n v="1571115600"/>
    <n v="1574920800"/>
    <b v="0"/>
    <b v="1"/>
    <s v="theater/plays"/>
    <m/>
    <x v="3"/>
    <s v="plays"/>
  </r>
  <r>
    <n v="808"/>
    <s v="Harris, Medina and Mitchell"/>
    <s v="Enhanced regional flexibility"/>
    <n v="5200"/>
    <n v="1583"/>
    <x v="0"/>
    <n v="19"/>
    <x v="1"/>
    <s v="USD"/>
    <n v="1463461200"/>
    <n v="1464930000"/>
    <b v="0"/>
    <b v="0"/>
    <s v="food/food trucks"/>
    <m/>
    <x v="0"/>
    <s v="food trucks"/>
  </r>
  <r>
    <n v="809"/>
    <s v="Williams and Sons"/>
    <s v="Public-key bottom-line algorithm"/>
    <n v="140800"/>
    <n v="88536"/>
    <x v="0"/>
    <n v="2108"/>
    <x v="5"/>
    <s v="CHF"/>
    <n v="1344920400"/>
    <n v="1345006800"/>
    <b v="0"/>
    <b v="0"/>
    <s v="film &amp; video/documentary"/>
    <m/>
    <x v="4"/>
    <s v="documentary"/>
  </r>
  <r>
    <n v="810"/>
    <s v="Ball-Fisher"/>
    <s v="Multi-layered intangible instruction set"/>
    <n v="6400"/>
    <n v="12360"/>
    <x v="1"/>
    <n v="221"/>
    <x v="1"/>
    <s v="USD"/>
    <n v="1511848800"/>
    <n v="1512712800"/>
    <b v="0"/>
    <b v="1"/>
    <s v="theater/plays"/>
    <m/>
    <x v="3"/>
    <s v="plays"/>
  </r>
  <r>
    <n v="811"/>
    <s v="Page, Holt and Mack"/>
    <s v="Fundamental methodical emulation"/>
    <n v="92500"/>
    <n v="71320"/>
    <x v="0"/>
    <n v="679"/>
    <x v="1"/>
    <s v="USD"/>
    <n v="1452319200"/>
    <n v="1452492000"/>
    <b v="0"/>
    <b v="1"/>
    <s v="games/video games"/>
    <m/>
    <x v="6"/>
    <s v="video games"/>
  </r>
  <r>
    <n v="812"/>
    <s v="Landry Group"/>
    <s v="Expanded value-added hardware"/>
    <n v="59700"/>
    <n v="134640"/>
    <x v="1"/>
    <n v="2805"/>
    <x v="0"/>
    <s v="CAD"/>
    <n v="1523854800"/>
    <n v="1524286800"/>
    <b v="0"/>
    <b v="0"/>
    <s v="publishing/nonfiction"/>
    <m/>
    <x v="5"/>
    <s v="nonfiction"/>
  </r>
  <r>
    <n v="813"/>
    <s v="Buckley Group"/>
    <s v="Diverse high-level attitude"/>
    <n v="3200"/>
    <n v="7661"/>
    <x v="1"/>
    <n v="68"/>
    <x v="1"/>
    <s v="USD"/>
    <n v="1346043600"/>
    <n v="1346907600"/>
    <b v="0"/>
    <b v="0"/>
    <s v="games/video games"/>
    <m/>
    <x v="6"/>
    <s v="video games"/>
  </r>
  <r>
    <n v="814"/>
    <s v="Vincent PLC"/>
    <s v="Visionary 24hour analyzer"/>
    <n v="3200"/>
    <n v="2950"/>
    <x v="0"/>
    <n v="36"/>
    <x v="3"/>
    <s v="DKK"/>
    <n v="1464325200"/>
    <n v="1464498000"/>
    <b v="0"/>
    <b v="1"/>
    <s v="music/rock"/>
    <m/>
    <x v="1"/>
    <s v="rock"/>
  </r>
  <r>
    <n v="815"/>
    <s v="Watson-Douglas"/>
    <s v="Centralized bandwidth-monitored leverage"/>
    <n v="9000"/>
    <n v="11721"/>
    <x v="1"/>
    <n v="183"/>
    <x v="0"/>
    <s v="CAD"/>
    <n v="1511935200"/>
    <n v="1514181600"/>
    <b v="0"/>
    <b v="0"/>
    <s v="music/rock"/>
    <m/>
    <x v="1"/>
    <s v="rock"/>
  </r>
  <r>
    <n v="816"/>
    <s v="Jones, Casey and Jones"/>
    <s v="Ergonomic mission-critical moratorium"/>
    <n v="2300"/>
    <n v="14150"/>
    <x v="1"/>
    <n v="133"/>
    <x v="1"/>
    <s v="USD"/>
    <n v="1392012000"/>
    <n v="1392184800"/>
    <b v="1"/>
    <b v="1"/>
    <s v="theater/plays"/>
    <m/>
    <x v="3"/>
    <s v="plays"/>
  </r>
  <r>
    <n v="817"/>
    <s v="Alvarez-Bauer"/>
    <s v="Front-line intermediate moderator"/>
    <n v="51300"/>
    <n v="189192"/>
    <x v="1"/>
    <n v="2489"/>
    <x v="6"/>
    <s v="EUR"/>
    <n v="1556946000"/>
    <n v="1559365200"/>
    <b v="0"/>
    <b v="1"/>
    <s v="publishing/nonfiction"/>
    <m/>
    <x v="5"/>
    <s v="nonfiction"/>
  </r>
  <r>
    <n v="818"/>
    <s v="Martinez LLC"/>
    <s v="Automated local secured line"/>
    <n v="700"/>
    <n v="7664"/>
    <x v="1"/>
    <n v="69"/>
    <x v="1"/>
    <s v="USD"/>
    <n v="1548050400"/>
    <n v="1549173600"/>
    <b v="0"/>
    <b v="1"/>
    <s v="theater/plays"/>
    <m/>
    <x v="3"/>
    <s v="plays"/>
  </r>
  <r>
    <n v="819"/>
    <s v="Buck-Khan"/>
    <s v="Integrated bandwidth-monitored alliance"/>
    <n v="8900"/>
    <n v="4509"/>
    <x v="0"/>
    <n v="47"/>
    <x v="1"/>
    <s v="USD"/>
    <n v="1353736800"/>
    <n v="1355032800"/>
    <b v="1"/>
    <b v="0"/>
    <s v="games/video games"/>
    <m/>
    <x v="6"/>
    <s v="video games"/>
  </r>
  <r>
    <n v="820"/>
    <s v="Valdez, Williams and Meyer"/>
    <s v="Cross-group heuristic forecast"/>
    <n v="1500"/>
    <n v="12009"/>
    <x v="1"/>
    <n v="279"/>
    <x v="4"/>
    <s v="GBP"/>
    <n v="1532840400"/>
    <n v="1533963600"/>
    <b v="0"/>
    <b v="1"/>
    <s v="music/rock"/>
    <m/>
    <x v="1"/>
    <s v="rock"/>
  </r>
  <r>
    <n v="821"/>
    <s v="Alvarez-Andrews"/>
    <s v="Extended impactful secured line"/>
    <n v="4900"/>
    <n v="14273"/>
    <x v="1"/>
    <n v="210"/>
    <x v="1"/>
    <s v="USD"/>
    <n v="1488261600"/>
    <n v="1489381200"/>
    <b v="0"/>
    <b v="0"/>
    <s v="film &amp; video/documentary"/>
    <m/>
    <x v="4"/>
    <s v="documentary"/>
  </r>
  <r>
    <n v="822"/>
    <s v="Stewart and Sons"/>
    <s v="Distributed optimizing protocol"/>
    <n v="54000"/>
    <n v="188982"/>
    <x v="1"/>
    <n v="2100"/>
    <x v="1"/>
    <s v="USD"/>
    <n v="1393567200"/>
    <n v="1395032400"/>
    <b v="0"/>
    <b v="0"/>
    <s v="music/rock"/>
    <m/>
    <x v="1"/>
    <s v="rock"/>
  </r>
  <r>
    <n v="823"/>
    <s v="Dyer Inc"/>
    <s v="Secured well-modulated system engine"/>
    <n v="4100"/>
    <n v="14640"/>
    <x v="1"/>
    <n v="252"/>
    <x v="1"/>
    <s v="USD"/>
    <n v="1410325200"/>
    <n v="1412485200"/>
    <b v="1"/>
    <b v="1"/>
    <s v="music/rock"/>
    <m/>
    <x v="1"/>
    <s v="rock"/>
  </r>
  <r>
    <n v="824"/>
    <s v="Anderson, Williams and Cox"/>
    <s v="Streamlined national benchmark"/>
    <n v="85000"/>
    <n v="107516"/>
    <x v="1"/>
    <n v="1280"/>
    <x v="1"/>
    <s v="USD"/>
    <n v="1276923600"/>
    <n v="1279688400"/>
    <b v="0"/>
    <b v="1"/>
    <s v="publishing/nonfiction"/>
    <m/>
    <x v="5"/>
    <s v="nonfiction"/>
  </r>
  <r>
    <n v="825"/>
    <s v="Solomon PLC"/>
    <s v="Open-architected 24/7 infrastructure"/>
    <n v="3600"/>
    <n v="13950"/>
    <x v="1"/>
    <n v="157"/>
    <x v="4"/>
    <s v="GBP"/>
    <n v="1500958800"/>
    <n v="1501995600"/>
    <b v="0"/>
    <b v="0"/>
    <s v="film &amp; video/shorts"/>
    <m/>
    <x v="4"/>
    <s v="shorts"/>
  </r>
  <r>
    <n v="826"/>
    <s v="Miller-Hubbard"/>
    <s v="Digitized 6thgeneration Local Area Network"/>
    <n v="2800"/>
    <n v="12797"/>
    <x v="1"/>
    <n v="194"/>
    <x v="1"/>
    <s v="USD"/>
    <n v="1292220000"/>
    <n v="1294639200"/>
    <b v="0"/>
    <b v="1"/>
    <s v="theater/plays"/>
    <m/>
    <x v="3"/>
    <s v="plays"/>
  </r>
  <r>
    <n v="827"/>
    <s v="Miranda, Martinez and Lowery"/>
    <s v="Innovative actuating artificial intelligence"/>
    <n v="2300"/>
    <n v="6134"/>
    <x v="1"/>
    <n v="82"/>
    <x v="2"/>
    <s v="AUD"/>
    <n v="1304398800"/>
    <n v="1305435600"/>
    <b v="0"/>
    <b v="1"/>
    <s v="film &amp; video/drama"/>
    <m/>
    <x v="4"/>
    <s v="drama"/>
  </r>
  <r>
    <n v="828"/>
    <s v="Munoz, Cherry and Bell"/>
    <s v="Cross-platform reciprocal budgetary management"/>
    <n v="7100"/>
    <n v="4899"/>
    <x v="0"/>
    <n v="70"/>
    <x v="1"/>
    <s v="USD"/>
    <n v="1535432400"/>
    <n v="1537592400"/>
    <b v="0"/>
    <b v="0"/>
    <s v="theater/plays"/>
    <m/>
    <x v="3"/>
    <s v="plays"/>
  </r>
  <r>
    <n v="829"/>
    <s v="Baker-Higgins"/>
    <s v="Vision-oriented scalable portal"/>
    <n v="9600"/>
    <n v="4929"/>
    <x v="0"/>
    <n v="154"/>
    <x v="1"/>
    <s v="USD"/>
    <n v="1433826000"/>
    <n v="1435122000"/>
    <b v="0"/>
    <b v="0"/>
    <s v="theater/plays"/>
    <m/>
    <x v="3"/>
    <s v="plays"/>
  </r>
  <r>
    <n v="830"/>
    <s v="Johnson, Turner and Carroll"/>
    <s v="Persevering zero administration knowledge user"/>
    <n v="121600"/>
    <n v="1424"/>
    <x v="0"/>
    <n v="22"/>
    <x v="1"/>
    <s v="USD"/>
    <n v="1514959200"/>
    <n v="1520056800"/>
    <b v="0"/>
    <b v="0"/>
    <s v="theater/plays"/>
    <m/>
    <x v="3"/>
    <s v="plays"/>
  </r>
  <r>
    <n v="831"/>
    <s v="Ward PLC"/>
    <s v="Front-line bottom-line Graphic Interface"/>
    <n v="97100"/>
    <n v="105817"/>
    <x v="1"/>
    <n v="4233"/>
    <x v="1"/>
    <s v="USD"/>
    <n v="1332738000"/>
    <n v="1335675600"/>
    <b v="0"/>
    <b v="0"/>
    <s v="photography/photography books"/>
    <m/>
    <x v="7"/>
    <s v="photography books"/>
  </r>
  <r>
    <n v="832"/>
    <s v="Bradley, Beck and Mayo"/>
    <s v="Synergized fault-tolerant hierarchy"/>
    <n v="43200"/>
    <n v="136156"/>
    <x v="1"/>
    <n v="1297"/>
    <x v="3"/>
    <s v="DKK"/>
    <n v="1445490000"/>
    <n v="1448431200"/>
    <b v="1"/>
    <b v="0"/>
    <s v="publishing/translations"/>
    <m/>
    <x v="5"/>
    <s v="translations"/>
  </r>
  <r>
    <n v="833"/>
    <s v="Levine, Martin and Hernandez"/>
    <s v="Expanded asynchronous groupware"/>
    <n v="6800"/>
    <n v="10723"/>
    <x v="1"/>
    <n v="165"/>
    <x v="3"/>
    <s v="DKK"/>
    <n v="1297663200"/>
    <n v="1298613600"/>
    <b v="0"/>
    <b v="0"/>
    <s v="publishing/translations"/>
    <m/>
    <x v="5"/>
    <s v="translations"/>
  </r>
  <r>
    <n v="834"/>
    <s v="Gallegos, Wagner and Gaines"/>
    <s v="Expanded fault-tolerant emulation"/>
    <n v="7300"/>
    <n v="11228"/>
    <x v="1"/>
    <n v="119"/>
    <x v="1"/>
    <s v="USD"/>
    <n v="1371963600"/>
    <n v="1372482000"/>
    <b v="0"/>
    <b v="0"/>
    <s v="theater/plays"/>
    <m/>
    <x v="3"/>
    <s v="plays"/>
  </r>
  <r>
    <n v="835"/>
    <s v="Hodges, Smith and Kelly"/>
    <s v="Future-proofed 24hour model"/>
    <n v="86200"/>
    <n v="77355"/>
    <x v="0"/>
    <n v="1758"/>
    <x v="1"/>
    <s v="USD"/>
    <n v="1425103200"/>
    <n v="1425621600"/>
    <b v="0"/>
    <b v="0"/>
    <s v="technology/web"/>
    <m/>
    <x v="2"/>
    <s v="web"/>
  </r>
  <r>
    <n v="836"/>
    <s v="Macias Inc"/>
    <s v="Optimized didactic intranet"/>
    <n v="8100"/>
    <n v="6086"/>
    <x v="0"/>
    <n v="94"/>
    <x v="1"/>
    <s v="USD"/>
    <n v="1265349600"/>
    <n v="1266300000"/>
    <b v="0"/>
    <b v="0"/>
    <s v="music/indie rock"/>
    <m/>
    <x v="1"/>
    <s v="indie rock"/>
  </r>
  <r>
    <n v="837"/>
    <s v="Cook-Ortiz"/>
    <s v="Right-sized dedicated standardization"/>
    <n v="17700"/>
    <n v="150960"/>
    <x v="1"/>
    <n v="1797"/>
    <x v="1"/>
    <s v="USD"/>
    <n v="1301202000"/>
    <n v="1305867600"/>
    <b v="0"/>
    <b v="0"/>
    <s v="music/jazz"/>
    <m/>
    <x v="1"/>
    <s v="jazz"/>
  </r>
  <r>
    <n v="838"/>
    <s v="Jordan-Fischer"/>
    <s v="Vision-oriented high-level extranet"/>
    <n v="6400"/>
    <n v="8890"/>
    <x v="1"/>
    <n v="261"/>
    <x v="1"/>
    <s v="USD"/>
    <n v="1538024400"/>
    <n v="1538802000"/>
    <b v="0"/>
    <b v="0"/>
    <s v="theater/plays"/>
    <m/>
    <x v="3"/>
    <s v="plays"/>
  </r>
  <r>
    <n v="839"/>
    <s v="Pierce-Ramirez"/>
    <s v="Organized scalable initiative"/>
    <n v="7700"/>
    <n v="14644"/>
    <x v="1"/>
    <n v="157"/>
    <x v="1"/>
    <s v="USD"/>
    <n v="1395032400"/>
    <n v="1398920400"/>
    <b v="0"/>
    <b v="1"/>
    <s v="film &amp; video/documentary"/>
    <m/>
    <x v="4"/>
    <s v="documentary"/>
  </r>
  <r>
    <n v="840"/>
    <s v="Howell and Sons"/>
    <s v="Enhanced regional moderator"/>
    <n v="116300"/>
    <n v="116583"/>
    <x v="1"/>
    <n v="3533"/>
    <x v="1"/>
    <s v="USD"/>
    <n v="1405486800"/>
    <n v="1405659600"/>
    <b v="0"/>
    <b v="1"/>
    <s v="theater/plays"/>
    <m/>
    <x v="3"/>
    <s v="plays"/>
  </r>
  <r>
    <n v="841"/>
    <s v="Garcia, Dunn and Richardson"/>
    <s v="Automated even-keeled emulation"/>
    <n v="9100"/>
    <n v="12991"/>
    <x v="1"/>
    <n v="155"/>
    <x v="1"/>
    <s v="USD"/>
    <n v="1455861600"/>
    <n v="1457244000"/>
    <b v="0"/>
    <b v="0"/>
    <s v="technology/web"/>
    <m/>
    <x v="2"/>
    <s v="web"/>
  </r>
  <r>
    <n v="842"/>
    <s v="Lawson and Sons"/>
    <s v="Reverse-engineered multi-tasking product"/>
    <n v="1500"/>
    <n v="8447"/>
    <x v="1"/>
    <n v="132"/>
    <x v="6"/>
    <s v="EUR"/>
    <n v="1529038800"/>
    <n v="1529298000"/>
    <b v="0"/>
    <b v="0"/>
    <s v="technology/wearables"/>
    <m/>
    <x v="2"/>
    <s v="wearables"/>
  </r>
  <r>
    <n v="843"/>
    <s v="Porter-Hicks"/>
    <s v="De-engineered next generation parallelism"/>
    <n v="8800"/>
    <n v="2703"/>
    <x v="0"/>
    <n v="33"/>
    <x v="1"/>
    <s v="USD"/>
    <n v="1535259600"/>
    <n v="1535778000"/>
    <b v="0"/>
    <b v="0"/>
    <s v="photography/photography books"/>
    <m/>
    <x v="7"/>
    <s v="photography books"/>
  </r>
  <r>
    <n v="844"/>
    <s v="Rodriguez-Hansen"/>
    <s v="Intuitive cohesive groupware"/>
    <n v="8800"/>
    <n v="8747"/>
    <x v="3"/>
    <n v="94"/>
    <x v="1"/>
    <s v="USD"/>
    <n v="1327212000"/>
    <n v="1327471200"/>
    <b v="0"/>
    <b v="0"/>
    <s v="film &amp; video/documentary"/>
    <m/>
    <x v="4"/>
    <s v="documentary"/>
  </r>
  <r>
    <n v="845"/>
    <s v="Williams LLC"/>
    <s v="Up-sized high-level access"/>
    <n v="69900"/>
    <n v="138087"/>
    <x v="1"/>
    <n v="1354"/>
    <x v="4"/>
    <s v="GBP"/>
    <n v="1526360400"/>
    <n v="1529557200"/>
    <b v="0"/>
    <b v="0"/>
    <s v="technology/web"/>
    <m/>
    <x v="2"/>
    <s v="web"/>
  </r>
  <r>
    <n v="846"/>
    <s v="Cooper, Stanley and Bryant"/>
    <s v="Phased empowering success"/>
    <n v="1000"/>
    <n v="5085"/>
    <x v="1"/>
    <n v="48"/>
    <x v="1"/>
    <s v="USD"/>
    <n v="1532149200"/>
    <n v="1535259600"/>
    <b v="1"/>
    <b v="1"/>
    <s v="technology/web"/>
    <m/>
    <x v="2"/>
    <s v="web"/>
  </r>
  <r>
    <n v="847"/>
    <s v="Miller, Glenn and Adams"/>
    <s v="Distributed actuating project"/>
    <n v="4700"/>
    <n v="11174"/>
    <x v="1"/>
    <n v="110"/>
    <x v="1"/>
    <s v="USD"/>
    <n v="1515304800"/>
    <n v="1515564000"/>
    <b v="0"/>
    <b v="0"/>
    <s v="food/food trucks"/>
    <m/>
    <x v="0"/>
    <s v="food trucks"/>
  </r>
  <r>
    <n v="848"/>
    <s v="Cole, Salazar and Moreno"/>
    <s v="Robust motivating orchestration"/>
    <n v="3200"/>
    <n v="10831"/>
    <x v="1"/>
    <n v="172"/>
    <x v="1"/>
    <s v="USD"/>
    <n v="1276318800"/>
    <n v="1277096400"/>
    <b v="0"/>
    <b v="0"/>
    <s v="film &amp; video/drama"/>
    <m/>
    <x v="4"/>
    <s v="drama"/>
  </r>
  <r>
    <n v="849"/>
    <s v="Jones-Ryan"/>
    <s v="Vision-oriented uniform instruction set"/>
    <n v="6700"/>
    <n v="8917"/>
    <x v="1"/>
    <n v="307"/>
    <x v="1"/>
    <s v="USD"/>
    <n v="1328767200"/>
    <n v="1329026400"/>
    <b v="0"/>
    <b v="1"/>
    <s v="music/indie rock"/>
    <m/>
    <x v="1"/>
    <s v="indie rock"/>
  </r>
  <r>
    <n v="850"/>
    <s v="Hood, Perez and Meadows"/>
    <s v="Cross-group upward-trending hierarchy"/>
    <n v="100"/>
    <n v="1"/>
    <x v="0"/>
    <n v="1"/>
    <x v="1"/>
    <s v="USD"/>
    <n v="1321682400"/>
    <n v="1322978400"/>
    <b v="1"/>
    <b v="0"/>
    <s v="music/rock"/>
    <m/>
    <x v="1"/>
    <s v="rock"/>
  </r>
  <r>
    <n v="851"/>
    <s v="Bright and Sons"/>
    <s v="Object-based needs-based info-mediaries"/>
    <n v="6000"/>
    <n v="12468"/>
    <x v="1"/>
    <n v="160"/>
    <x v="1"/>
    <s v="USD"/>
    <n v="1335934800"/>
    <n v="1338786000"/>
    <b v="0"/>
    <b v="0"/>
    <s v="music/electric music"/>
    <m/>
    <x v="1"/>
    <s v="electric music"/>
  </r>
  <r>
    <n v="852"/>
    <s v="Brady Ltd"/>
    <s v="Open-source reciprocal standardization"/>
    <n v="4900"/>
    <n v="2505"/>
    <x v="0"/>
    <n v="31"/>
    <x v="1"/>
    <s v="USD"/>
    <n v="1310792400"/>
    <n v="1311656400"/>
    <b v="0"/>
    <b v="1"/>
    <s v="games/video games"/>
    <m/>
    <x v="6"/>
    <s v="video games"/>
  </r>
  <r>
    <n v="853"/>
    <s v="Collier LLC"/>
    <s v="Secured well-modulated projection"/>
    <n v="17100"/>
    <n v="111502"/>
    <x v="1"/>
    <n v="1467"/>
    <x v="0"/>
    <s v="CAD"/>
    <n v="1308546000"/>
    <n v="1308978000"/>
    <b v="0"/>
    <b v="1"/>
    <s v="music/indie rock"/>
    <m/>
    <x v="1"/>
    <s v="indie rock"/>
  </r>
  <r>
    <n v="854"/>
    <s v="Campbell, Thomas and Obrien"/>
    <s v="Multi-channeled secondary middleware"/>
    <n v="171000"/>
    <n v="194309"/>
    <x v="1"/>
    <n v="2662"/>
    <x v="0"/>
    <s v="CAD"/>
    <n v="1574056800"/>
    <n v="1576389600"/>
    <b v="0"/>
    <b v="0"/>
    <s v="publishing/fiction"/>
    <m/>
    <x v="5"/>
    <s v="fiction"/>
  </r>
  <r>
    <n v="855"/>
    <s v="Moses-Terry"/>
    <s v="Horizontal clear-thinking framework"/>
    <n v="23400"/>
    <n v="23956"/>
    <x v="1"/>
    <n v="452"/>
    <x v="2"/>
    <s v="AUD"/>
    <n v="1308373200"/>
    <n v="1311051600"/>
    <b v="0"/>
    <b v="0"/>
    <s v="theater/plays"/>
    <m/>
    <x v="3"/>
    <s v="plays"/>
  </r>
  <r>
    <n v="856"/>
    <s v="Williams and Sons"/>
    <s v="Profound composite core"/>
    <n v="2400"/>
    <n v="8558"/>
    <x v="1"/>
    <n v="158"/>
    <x v="1"/>
    <s v="USD"/>
    <n v="1335243600"/>
    <n v="1336712400"/>
    <b v="0"/>
    <b v="0"/>
    <s v="food/food trucks"/>
    <m/>
    <x v="0"/>
    <s v="food trucks"/>
  </r>
  <r>
    <n v="857"/>
    <s v="Miranda, Gray and Hale"/>
    <s v="Programmable disintermediate matrices"/>
    <n v="5300"/>
    <n v="7413"/>
    <x v="1"/>
    <n v="225"/>
    <x v="5"/>
    <s v="CHF"/>
    <n v="1328421600"/>
    <n v="1330408800"/>
    <b v="1"/>
    <b v="0"/>
    <s v="film &amp; video/shorts"/>
    <m/>
    <x v="4"/>
    <s v="shorts"/>
  </r>
  <r>
    <n v="858"/>
    <s v="Ayala, Crawford and Taylor"/>
    <s v="Realigned 5thgeneration knowledge user"/>
    <n v="4000"/>
    <n v="2778"/>
    <x v="0"/>
    <n v="35"/>
    <x v="1"/>
    <s v="USD"/>
    <n v="1524286800"/>
    <n v="1524891600"/>
    <b v="1"/>
    <b v="0"/>
    <s v="food/food trucks"/>
    <m/>
    <x v="0"/>
    <s v="food trucks"/>
  </r>
  <r>
    <n v="859"/>
    <s v="Martinez Ltd"/>
    <s v="Multi-layered upward-trending groupware"/>
    <n v="7300"/>
    <n v="2594"/>
    <x v="0"/>
    <n v="63"/>
    <x v="1"/>
    <s v="USD"/>
    <n v="1362117600"/>
    <n v="1363669200"/>
    <b v="0"/>
    <b v="1"/>
    <s v="theater/plays"/>
    <m/>
    <x v="3"/>
    <s v="plays"/>
  </r>
  <r>
    <n v="860"/>
    <s v="Lee PLC"/>
    <s v="Re-contextualized leadingedge firmware"/>
    <n v="2000"/>
    <n v="5033"/>
    <x v="1"/>
    <n v="65"/>
    <x v="1"/>
    <s v="USD"/>
    <n v="1550556000"/>
    <n v="1551420000"/>
    <b v="0"/>
    <b v="1"/>
    <s v="technology/wearables"/>
    <m/>
    <x v="2"/>
    <s v="wearables"/>
  </r>
  <r>
    <n v="861"/>
    <s v="Young, Ramsey and Powell"/>
    <s v="Devolved disintermediate analyzer"/>
    <n v="8800"/>
    <n v="9317"/>
    <x v="1"/>
    <n v="163"/>
    <x v="1"/>
    <s v="USD"/>
    <n v="1269147600"/>
    <n v="1269838800"/>
    <b v="0"/>
    <b v="0"/>
    <s v="theater/plays"/>
    <m/>
    <x v="3"/>
    <s v="plays"/>
  </r>
  <r>
    <n v="862"/>
    <s v="Lewis and Sons"/>
    <s v="Profound disintermediate open system"/>
    <n v="3500"/>
    <n v="6560"/>
    <x v="1"/>
    <n v="85"/>
    <x v="1"/>
    <s v="USD"/>
    <n v="1312174800"/>
    <n v="1312520400"/>
    <b v="0"/>
    <b v="0"/>
    <s v="theater/plays"/>
    <m/>
    <x v="3"/>
    <s v="plays"/>
  </r>
  <r>
    <n v="863"/>
    <s v="Davis-Johnson"/>
    <s v="Automated reciprocal protocol"/>
    <n v="1400"/>
    <n v="5415"/>
    <x v="1"/>
    <n v="217"/>
    <x v="1"/>
    <s v="USD"/>
    <n v="1434517200"/>
    <n v="1436504400"/>
    <b v="0"/>
    <b v="1"/>
    <s v="film &amp; video/television"/>
    <m/>
    <x v="4"/>
    <s v="television"/>
  </r>
  <r>
    <n v="864"/>
    <s v="Stevenson-Thompson"/>
    <s v="Automated static workforce"/>
    <n v="4200"/>
    <n v="14577"/>
    <x v="1"/>
    <n v="150"/>
    <x v="1"/>
    <s v="USD"/>
    <n v="1471582800"/>
    <n v="1472014800"/>
    <b v="0"/>
    <b v="0"/>
    <s v="film &amp; video/shorts"/>
    <m/>
    <x v="4"/>
    <s v="shorts"/>
  </r>
  <r>
    <n v="865"/>
    <s v="Ellis, Smith and Armstrong"/>
    <s v="Horizontal attitude-oriented help-desk"/>
    <n v="81000"/>
    <n v="150515"/>
    <x v="1"/>
    <n v="3272"/>
    <x v="1"/>
    <s v="USD"/>
    <n v="1410757200"/>
    <n v="1411534800"/>
    <b v="0"/>
    <b v="0"/>
    <s v="theater/plays"/>
    <m/>
    <x v="3"/>
    <s v="plays"/>
  </r>
  <r>
    <n v="866"/>
    <s v="Jackson-Brown"/>
    <s v="Versatile 5thgeneration matrices"/>
    <n v="182800"/>
    <n v="79045"/>
    <x v="3"/>
    <n v="898"/>
    <x v="1"/>
    <s v="USD"/>
    <n v="1304830800"/>
    <n v="1304917200"/>
    <b v="0"/>
    <b v="0"/>
    <s v="photography/photography books"/>
    <m/>
    <x v="7"/>
    <s v="photography books"/>
  </r>
  <r>
    <n v="867"/>
    <s v="Kane, Pruitt and Rivera"/>
    <s v="Cross-platform next generation service-desk"/>
    <n v="4800"/>
    <n v="7797"/>
    <x v="1"/>
    <n v="300"/>
    <x v="1"/>
    <s v="USD"/>
    <n v="1539061200"/>
    <n v="1539579600"/>
    <b v="0"/>
    <b v="0"/>
    <s v="food/food trucks"/>
    <m/>
    <x v="0"/>
    <s v="food trucks"/>
  </r>
  <r>
    <n v="868"/>
    <s v="Wood, Buckley and Meza"/>
    <s v="Front-line web-enabled installation"/>
    <n v="7000"/>
    <n v="12939"/>
    <x v="1"/>
    <n v="126"/>
    <x v="1"/>
    <s v="USD"/>
    <n v="1381554000"/>
    <n v="1382504400"/>
    <b v="0"/>
    <b v="0"/>
    <s v="theater/plays"/>
    <m/>
    <x v="3"/>
    <s v="plays"/>
  </r>
  <r>
    <n v="869"/>
    <s v="Brown-Williams"/>
    <s v="Multi-channeled responsive product"/>
    <n v="161900"/>
    <n v="38376"/>
    <x v="0"/>
    <n v="526"/>
    <x v="1"/>
    <s v="USD"/>
    <n v="1277096400"/>
    <n v="1278306000"/>
    <b v="0"/>
    <b v="0"/>
    <s v="film &amp; video/drama"/>
    <m/>
    <x v="4"/>
    <s v="drama"/>
  </r>
  <r>
    <n v="870"/>
    <s v="Hansen-Austin"/>
    <s v="Adaptive demand-driven encryption"/>
    <n v="7700"/>
    <n v="6920"/>
    <x v="0"/>
    <n v="121"/>
    <x v="1"/>
    <s v="USD"/>
    <n v="1440392400"/>
    <n v="1442552400"/>
    <b v="0"/>
    <b v="0"/>
    <s v="theater/plays"/>
    <m/>
    <x v="3"/>
    <s v="plays"/>
  </r>
  <r>
    <n v="871"/>
    <s v="Santana-George"/>
    <s v="Re-engineered client-driven knowledge user"/>
    <n v="71500"/>
    <n v="194912"/>
    <x v="1"/>
    <n v="2320"/>
    <x v="1"/>
    <s v="USD"/>
    <n v="1509512400"/>
    <n v="1511071200"/>
    <b v="0"/>
    <b v="1"/>
    <s v="theater/plays"/>
    <m/>
    <x v="3"/>
    <s v="plays"/>
  </r>
  <r>
    <n v="872"/>
    <s v="Davis LLC"/>
    <s v="Compatible logistical paradigm"/>
    <n v="4700"/>
    <n v="7992"/>
    <x v="1"/>
    <n v="81"/>
    <x v="2"/>
    <s v="AUD"/>
    <n v="1535950800"/>
    <n v="1536382800"/>
    <b v="0"/>
    <b v="0"/>
    <s v="film &amp; video/science fiction"/>
    <m/>
    <x v="4"/>
    <s v="science fiction"/>
  </r>
  <r>
    <n v="873"/>
    <s v="Vazquez, Ochoa and Clark"/>
    <s v="Intuitive value-added installation"/>
    <n v="42100"/>
    <n v="79268"/>
    <x v="1"/>
    <n v="1887"/>
    <x v="1"/>
    <s v="USD"/>
    <n v="1389160800"/>
    <n v="1389592800"/>
    <b v="0"/>
    <b v="0"/>
    <s v="photography/photography books"/>
    <m/>
    <x v="7"/>
    <s v="photography books"/>
  </r>
  <r>
    <n v="874"/>
    <s v="Chung-Nguyen"/>
    <s v="Managed discrete parallelism"/>
    <n v="40200"/>
    <n v="139468"/>
    <x v="1"/>
    <n v="4358"/>
    <x v="1"/>
    <s v="USD"/>
    <n v="1271998800"/>
    <n v="1275282000"/>
    <b v="0"/>
    <b v="1"/>
    <s v="photography/photography books"/>
    <m/>
    <x v="7"/>
    <s v="photography books"/>
  </r>
  <r>
    <n v="875"/>
    <s v="Mueller-Harmon"/>
    <s v="Implemented tangible approach"/>
    <n v="7900"/>
    <n v="5465"/>
    <x v="0"/>
    <n v="67"/>
    <x v="1"/>
    <s v="USD"/>
    <n v="1294898400"/>
    <n v="1294984800"/>
    <b v="0"/>
    <b v="0"/>
    <s v="music/rock"/>
    <m/>
    <x v="1"/>
    <s v="rock"/>
  </r>
  <r>
    <n v="876"/>
    <s v="Dixon, Perez and Banks"/>
    <s v="Re-engineered encompassing definition"/>
    <n v="8300"/>
    <n v="2111"/>
    <x v="0"/>
    <n v="57"/>
    <x v="0"/>
    <s v="CAD"/>
    <n v="1559970000"/>
    <n v="1562043600"/>
    <b v="0"/>
    <b v="0"/>
    <s v="photography/photography books"/>
    <m/>
    <x v="7"/>
    <s v="photography books"/>
  </r>
  <r>
    <n v="877"/>
    <s v="Estrada Group"/>
    <s v="Multi-lateral uniform collaboration"/>
    <n v="163600"/>
    <n v="126628"/>
    <x v="0"/>
    <n v="1229"/>
    <x v="1"/>
    <s v="USD"/>
    <n v="1469509200"/>
    <n v="1469595600"/>
    <b v="0"/>
    <b v="0"/>
    <s v="food/food trucks"/>
    <m/>
    <x v="0"/>
    <s v="food trucks"/>
  </r>
  <r>
    <n v="878"/>
    <s v="Lutz Group"/>
    <s v="Enterprise-wide foreground paradigm"/>
    <n v="2700"/>
    <n v="1012"/>
    <x v="0"/>
    <n v="12"/>
    <x v="6"/>
    <s v="EUR"/>
    <n v="1579068000"/>
    <n v="1581141600"/>
    <b v="0"/>
    <b v="0"/>
    <s v="music/metal"/>
    <m/>
    <x v="1"/>
    <s v="metal"/>
  </r>
  <r>
    <n v="879"/>
    <s v="Ortiz Inc"/>
    <s v="Stand-alone incremental parallelism"/>
    <n v="1000"/>
    <n v="5438"/>
    <x v="1"/>
    <n v="53"/>
    <x v="1"/>
    <s v="USD"/>
    <n v="1487743200"/>
    <n v="1488520800"/>
    <b v="0"/>
    <b v="0"/>
    <s v="publishing/nonfiction"/>
    <m/>
    <x v="5"/>
    <s v="nonfiction"/>
  </r>
  <r>
    <n v="880"/>
    <s v="Craig, Ellis and Miller"/>
    <s v="Persevering 5thgeneration throughput"/>
    <n v="84500"/>
    <n v="193101"/>
    <x v="1"/>
    <n v="2414"/>
    <x v="1"/>
    <s v="USD"/>
    <n v="1563685200"/>
    <n v="1563858000"/>
    <b v="0"/>
    <b v="0"/>
    <s v="music/electric music"/>
    <m/>
    <x v="1"/>
    <s v="electric music"/>
  </r>
  <r>
    <n v="881"/>
    <s v="Charles Inc"/>
    <s v="Implemented object-oriented synergy"/>
    <n v="81300"/>
    <n v="31665"/>
    <x v="0"/>
    <n v="452"/>
    <x v="1"/>
    <s v="USD"/>
    <n v="1436418000"/>
    <n v="1438923600"/>
    <b v="0"/>
    <b v="1"/>
    <s v="theater/plays"/>
    <m/>
    <x v="3"/>
    <s v="plays"/>
  </r>
  <r>
    <n v="882"/>
    <s v="White-Rosario"/>
    <s v="Balanced demand-driven definition"/>
    <n v="800"/>
    <n v="2960"/>
    <x v="1"/>
    <n v="80"/>
    <x v="1"/>
    <s v="USD"/>
    <n v="1421820000"/>
    <n v="1422165600"/>
    <b v="0"/>
    <b v="0"/>
    <s v="theater/plays"/>
    <m/>
    <x v="3"/>
    <s v="plays"/>
  </r>
  <r>
    <n v="883"/>
    <s v="Simmons-Villarreal"/>
    <s v="Customer-focused mobile Graphic Interface"/>
    <n v="3400"/>
    <n v="8089"/>
    <x v="1"/>
    <n v="193"/>
    <x v="1"/>
    <s v="USD"/>
    <n v="1274763600"/>
    <n v="1277874000"/>
    <b v="0"/>
    <b v="0"/>
    <s v="film &amp; video/shorts"/>
    <m/>
    <x v="4"/>
    <s v="shorts"/>
  </r>
  <r>
    <n v="884"/>
    <s v="Strickland Group"/>
    <s v="Horizontal secondary interface"/>
    <n v="170800"/>
    <n v="109374"/>
    <x v="0"/>
    <n v="1886"/>
    <x v="1"/>
    <s v="USD"/>
    <n v="1399179600"/>
    <n v="1399352400"/>
    <b v="0"/>
    <b v="1"/>
    <s v="theater/plays"/>
    <m/>
    <x v="3"/>
    <s v="plays"/>
  </r>
  <r>
    <n v="885"/>
    <s v="Lynch Ltd"/>
    <s v="Virtual analyzing collaboration"/>
    <n v="1800"/>
    <n v="2129"/>
    <x v="1"/>
    <n v="52"/>
    <x v="1"/>
    <s v="USD"/>
    <n v="1275800400"/>
    <n v="1279083600"/>
    <b v="0"/>
    <b v="0"/>
    <s v="theater/plays"/>
    <m/>
    <x v="3"/>
    <s v="plays"/>
  </r>
  <r>
    <n v="886"/>
    <s v="Sanders LLC"/>
    <s v="Multi-tiered explicit focus group"/>
    <n v="150600"/>
    <n v="127745"/>
    <x v="0"/>
    <n v="1825"/>
    <x v="1"/>
    <s v="USD"/>
    <n v="1282798800"/>
    <n v="1284354000"/>
    <b v="0"/>
    <b v="0"/>
    <s v="music/indie rock"/>
    <m/>
    <x v="1"/>
    <s v="indie rock"/>
  </r>
  <r>
    <n v="887"/>
    <s v="Cooper LLC"/>
    <s v="Multi-layered systematic knowledgebase"/>
    <n v="7800"/>
    <n v="2289"/>
    <x v="0"/>
    <n v="31"/>
    <x v="1"/>
    <s v="USD"/>
    <n v="1437109200"/>
    <n v="1441170000"/>
    <b v="0"/>
    <b v="1"/>
    <s v="theater/plays"/>
    <m/>
    <x v="3"/>
    <s v="plays"/>
  </r>
  <r>
    <n v="888"/>
    <s v="Palmer Ltd"/>
    <s v="Reverse-engineered uniform knowledge user"/>
    <n v="5800"/>
    <n v="12174"/>
    <x v="1"/>
    <n v="290"/>
    <x v="1"/>
    <s v="USD"/>
    <n v="1491886800"/>
    <n v="1493528400"/>
    <b v="0"/>
    <b v="0"/>
    <s v="theater/plays"/>
    <m/>
    <x v="3"/>
    <s v="plays"/>
  </r>
  <r>
    <n v="889"/>
    <s v="Santos Group"/>
    <s v="Secured dynamic capacity"/>
    <n v="5600"/>
    <n v="9508"/>
    <x v="1"/>
    <n v="122"/>
    <x v="1"/>
    <s v="USD"/>
    <n v="1394600400"/>
    <n v="1395205200"/>
    <b v="0"/>
    <b v="1"/>
    <s v="music/electric music"/>
    <m/>
    <x v="1"/>
    <s v="electric music"/>
  </r>
  <r>
    <n v="890"/>
    <s v="Christian, Kim and Jimenez"/>
    <s v="Devolved foreground throughput"/>
    <n v="134400"/>
    <n v="155849"/>
    <x v="1"/>
    <n v="1470"/>
    <x v="1"/>
    <s v="USD"/>
    <n v="1561352400"/>
    <n v="1561438800"/>
    <b v="0"/>
    <b v="0"/>
    <s v="music/indie rock"/>
    <m/>
    <x v="1"/>
    <s v="indie rock"/>
  </r>
  <r>
    <n v="891"/>
    <s v="Williams, Price and Hurley"/>
    <s v="Synchronized demand-driven infrastructure"/>
    <n v="3000"/>
    <n v="7758"/>
    <x v="1"/>
    <n v="165"/>
    <x v="0"/>
    <s v="CAD"/>
    <n v="1322892000"/>
    <n v="1326693600"/>
    <b v="0"/>
    <b v="0"/>
    <s v="film &amp; video/documentary"/>
    <m/>
    <x v="4"/>
    <s v="documentary"/>
  </r>
  <r>
    <n v="892"/>
    <s v="Anderson, Parks and Estrada"/>
    <s v="Realigned discrete structure"/>
    <n v="6000"/>
    <n v="13835"/>
    <x v="1"/>
    <n v="182"/>
    <x v="1"/>
    <s v="USD"/>
    <n v="1274418000"/>
    <n v="1277960400"/>
    <b v="0"/>
    <b v="0"/>
    <s v="publishing/translations"/>
    <m/>
    <x v="5"/>
    <s v="translations"/>
  </r>
  <r>
    <n v="893"/>
    <s v="Collins-Martinez"/>
    <s v="Progressive grid-enabled website"/>
    <n v="8400"/>
    <n v="10770"/>
    <x v="1"/>
    <n v="199"/>
    <x v="6"/>
    <s v="EUR"/>
    <n v="1434344400"/>
    <n v="1434690000"/>
    <b v="0"/>
    <b v="1"/>
    <s v="film &amp; video/documentary"/>
    <m/>
    <x v="4"/>
    <s v="documentary"/>
  </r>
  <r>
    <n v="894"/>
    <s v="Barrett Inc"/>
    <s v="Organic cohesive neural-net"/>
    <n v="1700"/>
    <n v="3208"/>
    <x v="1"/>
    <n v="56"/>
    <x v="4"/>
    <s v="GBP"/>
    <n v="1373518800"/>
    <n v="1376110800"/>
    <b v="0"/>
    <b v="1"/>
    <s v="film &amp; video/television"/>
    <m/>
    <x v="4"/>
    <s v="television"/>
  </r>
  <r>
    <n v="895"/>
    <s v="Adams-Rollins"/>
    <s v="Integrated demand-driven info-mediaries"/>
    <n v="159800"/>
    <n v="11108"/>
    <x v="0"/>
    <n v="107"/>
    <x v="1"/>
    <s v="USD"/>
    <n v="1517637600"/>
    <n v="1518415200"/>
    <b v="0"/>
    <b v="0"/>
    <s v="theater/plays"/>
    <m/>
    <x v="3"/>
    <s v="plays"/>
  </r>
  <r>
    <n v="896"/>
    <s v="Wright-Bryant"/>
    <s v="Reverse-engineered client-server extranet"/>
    <n v="19800"/>
    <n v="153338"/>
    <x v="1"/>
    <n v="1460"/>
    <x v="2"/>
    <s v="AUD"/>
    <n v="1310619600"/>
    <n v="1310878800"/>
    <b v="0"/>
    <b v="1"/>
    <s v="food/food trucks"/>
    <m/>
    <x v="0"/>
    <s v="food trucks"/>
  </r>
  <r>
    <n v="897"/>
    <s v="Berry-Cannon"/>
    <s v="Organized discrete encoding"/>
    <n v="8800"/>
    <n v="2437"/>
    <x v="0"/>
    <n v="27"/>
    <x v="1"/>
    <s v="USD"/>
    <n v="1556427600"/>
    <n v="1556600400"/>
    <b v="0"/>
    <b v="0"/>
    <s v="theater/plays"/>
    <m/>
    <x v="3"/>
    <s v="plays"/>
  </r>
  <r>
    <n v="898"/>
    <s v="Davis-Gonzalez"/>
    <s v="Balanced regional flexibility"/>
    <n v="179100"/>
    <n v="93991"/>
    <x v="0"/>
    <n v="1221"/>
    <x v="1"/>
    <s v="USD"/>
    <n v="1576476000"/>
    <n v="1576994400"/>
    <b v="0"/>
    <b v="0"/>
    <s v="film &amp; video/documentary"/>
    <m/>
    <x v="4"/>
    <s v="documentary"/>
  </r>
  <r>
    <n v="899"/>
    <s v="Best-Young"/>
    <s v="Implemented multimedia time-frame"/>
    <n v="3100"/>
    <n v="12620"/>
    <x v="1"/>
    <n v="123"/>
    <x v="5"/>
    <s v="CHF"/>
    <n v="1381122000"/>
    <n v="1382677200"/>
    <b v="0"/>
    <b v="0"/>
    <s v="music/jazz"/>
    <m/>
    <x v="1"/>
    <s v="jazz"/>
  </r>
  <r>
    <n v="900"/>
    <s v="Powers, Smith and Deleon"/>
    <s v="Enhanced uniform service-desk"/>
    <n v="100"/>
    <n v="2"/>
    <x v="0"/>
    <n v="1"/>
    <x v="1"/>
    <s v="USD"/>
    <n v="1411102800"/>
    <n v="1411189200"/>
    <b v="0"/>
    <b v="1"/>
    <s v="technology/web"/>
    <m/>
    <x v="2"/>
    <s v="web"/>
  </r>
  <r>
    <n v="901"/>
    <s v="Hogan Group"/>
    <s v="Versatile bottom-line definition"/>
    <n v="5600"/>
    <n v="8746"/>
    <x v="1"/>
    <n v="159"/>
    <x v="1"/>
    <s v="USD"/>
    <n v="1531803600"/>
    <n v="1534654800"/>
    <b v="0"/>
    <b v="1"/>
    <s v="music/rock"/>
    <m/>
    <x v="1"/>
    <s v="rock"/>
  </r>
  <r>
    <n v="902"/>
    <s v="Wang, Silva and Byrd"/>
    <s v="Integrated bifurcated software"/>
    <n v="1400"/>
    <n v="3534"/>
    <x v="1"/>
    <n v="110"/>
    <x v="1"/>
    <s v="USD"/>
    <n v="1454133600"/>
    <n v="1457762400"/>
    <b v="0"/>
    <b v="0"/>
    <s v="technology/web"/>
    <m/>
    <x v="2"/>
    <s v="web"/>
  </r>
  <r>
    <n v="903"/>
    <s v="Parker-Morris"/>
    <s v="Assimilated next generation instruction set"/>
    <n v="41000"/>
    <n v="709"/>
    <x v="2"/>
    <n v="14"/>
    <x v="1"/>
    <s v="USD"/>
    <n v="1336194000"/>
    <n v="1337490000"/>
    <b v="0"/>
    <b v="1"/>
    <s v="publishing/nonfiction"/>
    <m/>
    <x v="5"/>
    <s v="nonfiction"/>
  </r>
  <r>
    <n v="904"/>
    <s v="Rodriguez, Johnson and Jackson"/>
    <s v="Digitized foreground array"/>
    <n v="6500"/>
    <n v="795"/>
    <x v="0"/>
    <n v="16"/>
    <x v="1"/>
    <s v="USD"/>
    <n v="1349326800"/>
    <n v="1349672400"/>
    <b v="0"/>
    <b v="0"/>
    <s v="publishing/radio &amp; podcasts"/>
    <m/>
    <x v="5"/>
    <s v="radio &amp; podcasts"/>
  </r>
  <r>
    <n v="905"/>
    <s v="Haynes PLC"/>
    <s v="Re-engineered clear-thinking project"/>
    <n v="7900"/>
    <n v="12955"/>
    <x v="1"/>
    <n v="236"/>
    <x v="1"/>
    <s v="USD"/>
    <n v="1379566800"/>
    <n v="1379826000"/>
    <b v="0"/>
    <b v="0"/>
    <s v="theater/plays"/>
    <m/>
    <x v="3"/>
    <s v="plays"/>
  </r>
  <r>
    <n v="906"/>
    <s v="Hayes Group"/>
    <s v="Implemented even-keeled standardization"/>
    <n v="5500"/>
    <n v="8964"/>
    <x v="1"/>
    <n v="191"/>
    <x v="1"/>
    <s v="USD"/>
    <n v="1494651600"/>
    <n v="1497762000"/>
    <b v="1"/>
    <b v="1"/>
    <s v="film &amp; video/documentary"/>
    <m/>
    <x v="4"/>
    <s v="documentary"/>
  </r>
  <r>
    <n v="907"/>
    <s v="White, Pena and Calhoun"/>
    <s v="Quality-focused asymmetric adapter"/>
    <n v="9100"/>
    <n v="1843"/>
    <x v="0"/>
    <n v="41"/>
    <x v="1"/>
    <s v="USD"/>
    <n v="1303880400"/>
    <n v="1304485200"/>
    <b v="0"/>
    <b v="0"/>
    <s v="theater/plays"/>
    <m/>
    <x v="3"/>
    <s v="plays"/>
  </r>
  <r>
    <n v="908"/>
    <s v="Bryant-Pope"/>
    <s v="Networked intangible help-desk"/>
    <n v="38200"/>
    <n v="121950"/>
    <x v="1"/>
    <n v="3934"/>
    <x v="1"/>
    <s v="USD"/>
    <n v="1335934800"/>
    <n v="1336885200"/>
    <b v="0"/>
    <b v="0"/>
    <s v="games/video games"/>
    <m/>
    <x v="6"/>
    <s v="video games"/>
  </r>
  <r>
    <n v="909"/>
    <s v="Gates, Li and Thompson"/>
    <s v="Synchronized attitude-oriented frame"/>
    <n v="1800"/>
    <n v="8621"/>
    <x v="1"/>
    <n v="80"/>
    <x v="0"/>
    <s v="CAD"/>
    <n v="1528088400"/>
    <n v="1530421200"/>
    <b v="0"/>
    <b v="1"/>
    <s v="theater/plays"/>
    <m/>
    <x v="3"/>
    <s v="plays"/>
  </r>
  <r>
    <n v="910"/>
    <s v="King-Morris"/>
    <s v="Proactive incremental architecture"/>
    <n v="154500"/>
    <n v="30215"/>
    <x v="3"/>
    <n v="296"/>
    <x v="1"/>
    <s v="USD"/>
    <n v="1421906400"/>
    <n v="1421992800"/>
    <b v="0"/>
    <b v="0"/>
    <s v="theater/plays"/>
    <m/>
    <x v="3"/>
    <s v="plays"/>
  </r>
  <r>
    <n v="911"/>
    <s v="Carter, Cole and Curtis"/>
    <s v="Cloned responsive standardization"/>
    <n v="5800"/>
    <n v="11539"/>
    <x v="1"/>
    <n v="462"/>
    <x v="1"/>
    <s v="USD"/>
    <n v="1568005200"/>
    <n v="1568178000"/>
    <b v="1"/>
    <b v="0"/>
    <s v="technology/web"/>
    <m/>
    <x v="2"/>
    <s v="web"/>
  </r>
  <r>
    <n v="912"/>
    <s v="Sanchez-Parsons"/>
    <s v="Reduced bifurcated pricing structure"/>
    <n v="1800"/>
    <n v="14310"/>
    <x v="1"/>
    <n v="179"/>
    <x v="1"/>
    <s v="USD"/>
    <n v="1346821200"/>
    <n v="1347944400"/>
    <b v="1"/>
    <b v="0"/>
    <s v="film &amp; video/drama"/>
    <m/>
    <x v="4"/>
    <s v="drama"/>
  </r>
  <r>
    <n v="913"/>
    <s v="Rivera-Pearson"/>
    <s v="Re-engineered asymmetric challenge"/>
    <n v="70200"/>
    <n v="35536"/>
    <x v="0"/>
    <n v="523"/>
    <x v="2"/>
    <s v="AUD"/>
    <n v="1557637200"/>
    <n v="1558760400"/>
    <b v="0"/>
    <b v="0"/>
    <s v="film &amp; video/drama"/>
    <m/>
    <x v="4"/>
    <s v="drama"/>
  </r>
  <r>
    <n v="914"/>
    <s v="Ramirez, Padilla and Barrera"/>
    <s v="Diverse client-driven conglomeration"/>
    <n v="6400"/>
    <n v="3676"/>
    <x v="0"/>
    <n v="141"/>
    <x v="4"/>
    <s v="GBP"/>
    <n v="1375592400"/>
    <n v="1376629200"/>
    <b v="0"/>
    <b v="0"/>
    <s v="theater/plays"/>
    <m/>
    <x v="3"/>
    <s v="plays"/>
  </r>
  <r>
    <n v="915"/>
    <s v="Riggs Group"/>
    <s v="Configurable upward-trending solution"/>
    <n v="125900"/>
    <n v="195936"/>
    <x v="1"/>
    <n v="1866"/>
    <x v="4"/>
    <s v="GBP"/>
    <n v="1503982800"/>
    <n v="1504760400"/>
    <b v="0"/>
    <b v="0"/>
    <s v="film &amp; video/television"/>
    <m/>
    <x v="4"/>
    <s v="television"/>
  </r>
  <r>
    <n v="916"/>
    <s v="Clements Ltd"/>
    <s v="Persistent bandwidth-monitored framework"/>
    <n v="3700"/>
    <n v="1343"/>
    <x v="0"/>
    <n v="52"/>
    <x v="1"/>
    <s v="USD"/>
    <n v="1418882400"/>
    <n v="1419660000"/>
    <b v="0"/>
    <b v="0"/>
    <s v="photography/photography books"/>
    <m/>
    <x v="7"/>
    <s v="photography books"/>
  </r>
  <r>
    <n v="917"/>
    <s v="Cooper Inc"/>
    <s v="Polarized discrete product"/>
    <n v="3600"/>
    <n v="2097"/>
    <x v="2"/>
    <n v="27"/>
    <x v="4"/>
    <s v="GBP"/>
    <n v="1309237200"/>
    <n v="1311310800"/>
    <b v="0"/>
    <b v="1"/>
    <s v="film &amp; video/shorts"/>
    <m/>
    <x v="4"/>
    <s v="shorts"/>
  </r>
  <r>
    <n v="918"/>
    <s v="Jones-Gonzalez"/>
    <s v="Seamless dynamic website"/>
    <n v="3800"/>
    <n v="9021"/>
    <x v="1"/>
    <n v="156"/>
    <x v="5"/>
    <s v="CHF"/>
    <n v="1343365200"/>
    <n v="1344315600"/>
    <b v="0"/>
    <b v="0"/>
    <s v="publishing/radio &amp; podcasts"/>
    <m/>
    <x v="5"/>
    <s v="radio &amp; podcasts"/>
  </r>
  <r>
    <n v="919"/>
    <s v="Fox Ltd"/>
    <s v="Extended multimedia firmware"/>
    <n v="35600"/>
    <n v="20915"/>
    <x v="0"/>
    <n v="225"/>
    <x v="2"/>
    <s v="AUD"/>
    <n v="1507957200"/>
    <n v="1510725600"/>
    <b v="0"/>
    <b v="1"/>
    <s v="theater/plays"/>
    <m/>
    <x v="3"/>
    <s v="plays"/>
  </r>
  <r>
    <n v="920"/>
    <s v="Green, Murphy and Webb"/>
    <s v="Versatile directional project"/>
    <n v="5300"/>
    <n v="9676"/>
    <x v="1"/>
    <n v="255"/>
    <x v="1"/>
    <s v="USD"/>
    <n v="1549519200"/>
    <n v="1551247200"/>
    <b v="1"/>
    <b v="0"/>
    <s v="film &amp; video/animation"/>
    <m/>
    <x v="4"/>
    <s v="animation"/>
  </r>
  <r>
    <n v="921"/>
    <s v="Stevenson PLC"/>
    <s v="Profound directional knowledge user"/>
    <n v="160400"/>
    <n v="1210"/>
    <x v="0"/>
    <n v="38"/>
    <x v="1"/>
    <s v="USD"/>
    <n v="1329026400"/>
    <n v="1330236000"/>
    <b v="0"/>
    <b v="0"/>
    <s v="technology/web"/>
    <m/>
    <x v="2"/>
    <s v="web"/>
  </r>
  <r>
    <n v="922"/>
    <s v="Soto-Anthony"/>
    <s v="Ameliorated logistical capability"/>
    <n v="51400"/>
    <n v="90440"/>
    <x v="1"/>
    <n v="2261"/>
    <x v="1"/>
    <s v="USD"/>
    <n v="1544335200"/>
    <n v="1545112800"/>
    <b v="0"/>
    <b v="1"/>
    <s v="music/world music"/>
    <m/>
    <x v="1"/>
    <s v="world music"/>
  </r>
  <r>
    <n v="923"/>
    <s v="Wise and Sons"/>
    <s v="Sharable discrete definition"/>
    <n v="1700"/>
    <n v="4044"/>
    <x v="1"/>
    <n v="40"/>
    <x v="1"/>
    <s v="USD"/>
    <n v="1279083600"/>
    <n v="1279170000"/>
    <b v="0"/>
    <b v="0"/>
    <s v="theater/plays"/>
    <m/>
    <x v="3"/>
    <s v="plays"/>
  </r>
  <r>
    <n v="924"/>
    <s v="Butler-Barr"/>
    <s v="User-friendly next generation core"/>
    <n v="39400"/>
    <n v="192292"/>
    <x v="1"/>
    <n v="2289"/>
    <x v="6"/>
    <s v="EUR"/>
    <n v="1572498000"/>
    <n v="1573452000"/>
    <b v="0"/>
    <b v="0"/>
    <s v="theater/plays"/>
    <m/>
    <x v="3"/>
    <s v="plays"/>
  </r>
  <r>
    <n v="925"/>
    <s v="Wilson, Jefferson and Anderson"/>
    <s v="Profit-focused empowering system engine"/>
    <n v="3000"/>
    <n v="6722"/>
    <x v="1"/>
    <n v="65"/>
    <x v="1"/>
    <s v="USD"/>
    <n v="1506056400"/>
    <n v="1507093200"/>
    <b v="0"/>
    <b v="0"/>
    <s v="theater/plays"/>
    <m/>
    <x v="3"/>
    <s v="plays"/>
  </r>
  <r>
    <n v="926"/>
    <s v="Brown-Oliver"/>
    <s v="Synchronized cohesive encoding"/>
    <n v="8700"/>
    <n v="1577"/>
    <x v="0"/>
    <n v="15"/>
    <x v="1"/>
    <s v="USD"/>
    <n v="1463029200"/>
    <n v="1463374800"/>
    <b v="0"/>
    <b v="0"/>
    <s v="food/food trucks"/>
    <m/>
    <x v="0"/>
    <s v="food trucks"/>
  </r>
  <r>
    <n v="927"/>
    <s v="Davis-Gardner"/>
    <s v="Synergistic dynamic utilization"/>
    <n v="7200"/>
    <n v="3301"/>
    <x v="0"/>
    <n v="37"/>
    <x v="1"/>
    <s v="USD"/>
    <n v="1342069200"/>
    <n v="1344574800"/>
    <b v="0"/>
    <b v="0"/>
    <s v="theater/plays"/>
    <m/>
    <x v="3"/>
    <s v="plays"/>
  </r>
  <r>
    <n v="928"/>
    <s v="Dawson Group"/>
    <s v="Triple-buffered bi-directional model"/>
    <n v="167400"/>
    <n v="196386"/>
    <x v="1"/>
    <n v="3777"/>
    <x v="6"/>
    <s v="EUR"/>
    <n v="1388296800"/>
    <n v="1389074400"/>
    <b v="0"/>
    <b v="0"/>
    <s v="technology/web"/>
    <m/>
    <x v="2"/>
    <s v="web"/>
  </r>
  <r>
    <n v="929"/>
    <s v="Turner-Terrell"/>
    <s v="Polarized tertiary function"/>
    <n v="5500"/>
    <n v="11952"/>
    <x v="1"/>
    <n v="184"/>
    <x v="4"/>
    <s v="GBP"/>
    <n v="1493787600"/>
    <n v="1494997200"/>
    <b v="0"/>
    <b v="0"/>
    <s v="theater/plays"/>
    <m/>
    <x v="3"/>
    <s v="plays"/>
  </r>
  <r>
    <n v="930"/>
    <s v="Hall, Buchanan and Benton"/>
    <s v="Configurable fault-tolerant structure"/>
    <n v="3500"/>
    <n v="3930"/>
    <x v="1"/>
    <n v="85"/>
    <x v="1"/>
    <s v="USD"/>
    <n v="1424844000"/>
    <n v="1425448800"/>
    <b v="0"/>
    <b v="1"/>
    <s v="theater/plays"/>
    <m/>
    <x v="3"/>
    <s v="plays"/>
  </r>
  <r>
    <n v="931"/>
    <s v="Lowery, Hayden and Cruz"/>
    <s v="Digitized 24/7 budgetary management"/>
    <n v="7900"/>
    <n v="5729"/>
    <x v="0"/>
    <n v="112"/>
    <x v="1"/>
    <s v="USD"/>
    <n v="1403931600"/>
    <n v="1404104400"/>
    <b v="0"/>
    <b v="1"/>
    <s v="theater/plays"/>
    <m/>
    <x v="3"/>
    <s v="plays"/>
  </r>
  <r>
    <n v="932"/>
    <s v="Mora, Miller and Harper"/>
    <s v="Stand-alone zero tolerance algorithm"/>
    <n v="2300"/>
    <n v="4883"/>
    <x v="1"/>
    <n v="144"/>
    <x v="1"/>
    <s v="USD"/>
    <n v="1394514000"/>
    <n v="1394773200"/>
    <b v="0"/>
    <b v="0"/>
    <s v="music/rock"/>
    <m/>
    <x v="1"/>
    <s v="rock"/>
  </r>
  <r>
    <n v="933"/>
    <s v="Espinoza Group"/>
    <s v="Implemented tangible support"/>
    <n v="73000"/>
    <n v="175015"/>
    <x v="1"/>
    <n v="1902"/>
    <x v="1"/>
    <s v="USD"/>
    <n v="1365397200"/>
    <n v="1366520400"/>
    <b v="0"/>
    <b v="0"/>
    <s v="theater/plays"/>
    <m/>
    <x v="3"/>
    <s v="plays"/>
  </r>
  <r>
    <n v="934"/>
    <s v="Davis, Crawford and Lopez"/>
    <s v="Reactive radical framework"/>
    <n v="6200"/>
    <n v="11280"/>
    <x v="1"/>
    <n v="105"/>
    <x v="1"/>
    <s v="USD"/>
    <n v="1456120800"/>
    <n v="1456639200"/>
    <b v="0"/>
    <b v="0"/>
    <s v="theater/plays"/>
    <m/>
    <x v="3"/>
    <s v="plays"/>
  </r>
  <r>
    <n v="935"/>
    <s v="Richards, Stevens and Fleming"/>
    <s v="Object-based full-range knowledge user"/>
    <n v="6100"/>
    <n v="10012"/>
    <x v="1"/>
    <n v="132"/>
    <x v="1"/>
    <s v="USD"/>
    <n v="1437714000"/>
    <n v="1438318800"/>
    <b v="0"/>
    <b v="0"/>
    <s v="theater/plays"/>
    <m/>
    <x v="3"/>
    <s v="plays"/>
  </r>
  <r>
    <n v="936"/>
    <s v="Brown Ltd"/>
    <s v="Enhanced composite contingency"/>
    <n v="103200"/>
    <n v="1690"/>
    <x v="0"/>
    <n v="21"/>
    <x v="1"/>
    <s v="USD"/>
    <n v="1563771600"/>
    <n v="1564030800"/>
    <b v="1"/>
    <b v="0"/>
    <s v="theater/plays"/>
    <m/>
    <x v="3"/>
    <s v="plays"/>
  </r>
  <r>
    <n v="937"/>
    <s v="Tapia, Sandoval and Hurley"/>
    <s v="Cloned fresh-thinking model"/>
    <n v="171000"/>
    <n v="84891"/>
    <x v="3"/>
    <n v="976"/>
    <x v="1"/>
    <s v="USD"/>
    <n v="1448517600"/>
    <n v="1449295200"/>
    <b v="0"/>
    <b v="0"/>
    <s v="film &amp; video/documentary"/>
    <m/>
    <x v="4"/>
    <s v="documentary"/>
  </r>
  <r>
    <n v="938"/>
    <s v="Allen Inc"/>
    <s v="Total dedicated benchmark"/>
    <n v="9200"/>
    <n v="10093"/>
    <x v="1"/>
    <n v="96"/>
    <x v="1"/>
    <s v="USD"/>
    <n v="1528779600"/>
    <n v="1531890000"/>
    <b v="0"/>
    <b v="1"/>
    <s v="publishing/fiction"/>
    <m/>
    <x v="5"/>
    <s v="fiction"/>
  </r>
  <r>
    <n v="939"/>
    <s v="Williams, Johnson and Campbell"/>
    <s v="Streamlined human-resource Graphic Interface"/>
    <n v="7800"/>
    <n v="3839"/>
    <x v="0"/>
    <n v="67"/>
    <x v="1"/>
    <s v="USD"/>
    <n v="1304744400"/>
    <n v="1306213200"/>
    <b v="0"/>
    <b v="1"/>
    <s v="games/video games"/>
    <m/>
    <x v="6"/>
    <s v="video games"/>
  </r>
  <r>
    <n v="940"/>
    <s v="Wiggins Ltd"/>
    <s v="Upgradable analyzing core"/>
    <n v="9900"/>
    <n v="6161"/>
    <x v="2"/>
    <n v="66"/>
    <x v="0"/>
    <s v="CAD"/>
    <n v="1354341600"/>
    <n v="1356242400"/>
    <b v="0"/>
    <b v="0"/>
    <s v="technology/web"/>
    <m/>
    <x v="2"/>
    <s v="web"/>
  </r>
  <r>
    <n v="941"/>
    <s v="Luna-Horne"/>
    <s v="Profound exuding pricing structure"/>
    <n v="43000"/>
    <n v="5615"/>
    <x v="0"/>
    <n v="78"/>
    <x v="1"/>
    <s v="USD"/>
    <n v="1294552800"/>
    <n v="1297576800"/>
    <b v="1"/>
    <b v="0"/>
    <s v="theater/plays"/>
    <m/>
    <x v="3"/>
    <s v="plays"/>
  </r>
  <r>
    <n v="942"/>
    <s v="Allen Inc"/>
    <s v="Horizontal optimizing model"/>
    <n v="9600"/>
    <n v="6205"/>
    <x v="0"/>
    <n v="67"/>
    <x v="2"/>
    <s v="AUD"/>
    <n v="1295935200"/>
    <n v="1296194400"/>
    <b v="0"/>
    <b v="0"/>
    <s v="theater/plays"/>
    <m/>
    <x v="3"/>
    <s v="plays"/>
  </r>
  <r>
    <n v="943"/>
    <s v="Peterson, Gonzalez and Spencer"/>
    <s v="Synchronized fault-tolerant algorithm"/>
    <n v="7500"/>
    <n v="11969"/>
    <x v="1"/>
    <n v="114"/>
    <x v="1"/>
    <s v="USD"/>
    <n v="1411534800"/>
    <n v="1414558800"/>
    <b v="0"/>
    <b v="0"/>
    <s v="food/food trucks"/>
    <m/>
    <x v="0"/>
    <s v="food trucks"/>
  </r>
  <r>
    <n v="944"/>
    <s v="Walter Inc"/>
    <s v="Streamlined 5thgeneration intranet"/>
    <n v="10000"/>
    <n v="8142"/>
    <x v="0"/>
    <n v="263"/>
    <x v="2"/>
    <s v="AUD"/>
    <n v="1486706400"/>
    <n v="1488348000"/>
    <b v="0"/>
    <b v="0"/>
    <s v="photography/photography books"/>
    <m/>
    <x v="7"/>
    <s v="photography books"/>
  </r>
  <r>
    <n v="945"/>
    <s v="Sanders, Farley and Huffman"/>
    <s v="Cross-group clear-thinking task-force"/>
    <n v="172000"/>
    <n v="55805"/>
    <x v="0"/>
    <n v="1691"/>
    <x v="1"/>
    <s v="USD"/>
    <n v="1333602000"/>
    <n v="1334898000"/>
    <b v="1"/>
    <b v="0"/>
    <s v="photography/photography books"/>
    <m/>
    <x v="7"/>
    <s v="photography books"/>
  </r>
  <r>
    <n v="946"/>
    <s v="Hall, Holmes and Walker"/>
    <s v="Public-key bandwidth-monitored intranet"/>
    <n v="153700"/>
    <n v="15238"/>
    <x v="0"/>
    <n v="181"/>
    <x v="1"/>
    <s v="USD"/>
    <n v="1308200400"/>
    <n v="1308373200"/>
    <b v="0"/>
    <b v="0"/>
    <s v="theater/plays"/>
    <m/>
    <x v="3"/>
    <s v="plays"/>
  </r>
  <r>
    <n v="947"/>
    <s v="Smith-Powell"/>
    <s v="Upgradable clear-thinking hardware"/>
    <n v="3600"/>
    <n v="961"/>
    <x v="0"/>
    <n v="13"/>
    <x v="1"/>
    <s v="USD"/>
    <n v="1411707600"/>
    <n v="1412312400"/>
    <b v="0"/>
    <b v="0"/>
    <s v="theater/plays"/>
    <m/>
    <x v="3"/>
    <s v="plays"/>
  </r>
  <r>
    <n v="948"/>
    <s v="Smith-Hill"/>
    <s v="Integrated holistic paradigm"/>
    <n v="9400"/>
    <n v="5918"/>
    <x v="3"/>
    <n v="160"/>
    <x v="1"/>
    <s v="USD"/>
    <n v="1418364000"/>
    <n v="1419228000"/>
    <b v="1"/>
    <b v="1"/>
    <s v="film &amp; video/documentary"/>
    <m/>
    <x v="4"/>
    <s v="documentary"/>
  </r>
  <r>
    <n v="949"/>
    <s v="Wright LLC"/>
    <s v="Seamless clear-thinking conglomeration"/>
    <n v="5900"/>
    <n v="9520"/>
    <x v="1"/>
    <n v="203"/>
    <x v="1"/>
    <s v="USD"/>
    <n v="1429333200"/>
    <n v="1430974800"/>
    <b v="0"/>
    <b v="0"/>
    <s v="technology/web"/>
    <m/>
    <x v="2"/>
    <s v="web"/>
  </r>
  <r>
    <n v="950"/>
    <s v="Williams, Orozco and Gomez"/>
    <s v="Persistent content-based methodology"/>
    <n v="100"/>
    <n v="5"/>
    <x v="0"/>
    <n v="1"/>
    <x v="1"/>
    <s v="USD"/>
    <n v="1555390800"/>
    <n v="1555822800"/>
    <b v="0"/>
    <b v="1"/>
    <s v="theater/plays"/>
    <m/>
    <x v="3"/>
    <s v="plays"/>
  </r>
  <r>
    <n v="951"/>
    <s v="Peterson Ltd"/>
    <s v="Re-engineered 24hour matrix"/>
    <n v="14500"/>
    <n v="159056"/>
    <x v="1"/>
    <n v="1559"/>
    <x v="1"/>
    <s v="USD"/>
    <n v="1482732000"/>
    <n v="1482818400"/>
    <b v="0"/>
    <b v="1"/>
    <s v="music/rock"/>
    <m/>
    <x v="1"/>
    <s v="rock"/>
  </r>
  <r>
    <n v="952"/>
    <s v="Cummings-Hayes"/>
    <s v="Virtual multi-tasking core"/>
    <n v="145500"/>
    <n v="101987"/>
    <x v="3"/>
    <n v="2266"/>
    <x v="1"/>
    <s v="USD"/>
    <n v="1470718800"/>
    <n v="1471928400"/>
    <b v="0"/>
    <b v="0"/>
    <s v="film &amp; video/documentary"/>
    <m/>
    <x v="4"/>
    <s v="documentary"/>
  </r>
  <r>
    <n v="953"/>
    <s v="Boyle Ltd"/>
    <s v="Streamlined fault-tolerant conglomeration"/>
    <n v="3300"/>
    <n v="1980"/>
    <x v="0"/>
    <n v="21"/>
    <x v="1"/>
    <s v="USD"/>
    <n v="1450591200"/>
    <n v="1453701600"/>
    <b v="0"/>
    <b v="1"/>
    <s v="film &amp; video/science fiction"/>
    <m/>
    <x v="4"/>
    <s v="science fiction"/>
  </r>
  <r>
    <n v="954"/>
    <s v="Henderson, Parker and Diaz"/>
    <s v="Enterprise-wide client-driven policy"/>
    <n v="42600"/>
    <n v="156384"/>
    <x v="1"/>
    <n v="1548"/>
    <x v="2"/>
    <s v="AUD"/>
    <n v="1348290000"/>
    <n v="1350363600"/>
    <b v="0"/>
    <b v="0"/>
    <s v="technology/web"/>
    <m/>
    <x v="2"/>
    <s v="web"/>
  </r>
  <r>
    <n v="955"/>
    <s v="Moss-Obrien"/>
    <s v="Function-based next generation emulation"/>
    <n v="700"/>
    <n v="7763"/>
    <x v="1"/>
    <n v="80"/>
    <x v="1"/>
    <s v="USD"/>
    <n v="1353823200"/>
    <n v="1353996000"/>
    <b v="0"/>
    <b v="0"/>
    <s v="theater/plays"/>
    <m/>
    <x v="3"/>
    <s v="plays"/>
  </r>
  <r>
    <n v="956"/>
    <s v="Wood Inc"/>
    <s v="Re-engineered composite focus group"/>
    <n v="187600"/>
    <n v="35698"/>
    <x v="0"/>
    <n v="830"/>
    <x v="1"/>
    <s v="USD"/>
    <n v="1450764000"/>
    <n v="1451109600"/>
    <b v="0"/>
    <b v="0"/>
    <s v="film &amp; video/science fiction"/>
    <m/>
    <x v="4"/>
    <s v="science fiction"/>
  </r>
  <r>
    <n v="957"/>
    <s v="Riley, Cohen and Goodman"/>
    <s v="Profound mission-critical function"/>
    <n v="9800"/>
    <n v="12434"/>
    <x v="1"/>
    <n v="131"/>
    <x v="1"/>
    <s v="USD"/>
    <n v="1329372000"/>
    <n v="1329631200"/>
    <b v="0"/>
    <b v="0"/>
    <s v="theater/plays"/>
    <m/>
    <x v="3"/>
    <s v="plays"/>
  </r>
  <r>
    <n v="958"/>
    <s v="Green, Robinson and Ho"/>
    <s v="De-engineered zero-defect open system"/>
    <n v="1100"/>
    <n v="8081"/>
    <x v="1"/>
    <n v="112"/>
    <x v="1"/>
    <s v="USD"/>
    <n v="1277096400"/>
    <n v="1278997200"/>
    <b v="0"/>
    <b v="0"/>
    <s v="film &amp; video/animation"/>
    <m/>
    <x v="4"/>
    <s v="animation"/>
  </r>
  <r>
    <n v="959"/>
    <s v="Black-Graham"/>
    <s v="Operative hybrid utilization"/>
    <n v="145000"/>
    <n v="6631"/>
    <x v="0"/>
    <n v="130"/>
    <x v="1"/>
    <s v="USD"/>
    <n v="1277701200"/>
    <n v="1280120400"/>
    <b v="0"/>
    <b v="0"/>
    <s v="publishing/translations"/>
    <m/>
    <x v="5"/>
    <s v="translations"/>
  </r>
  <r>
    <n v="960"/>
    <s v="Robbins Group"/>
    <s v="Function-based interactive matrix"/>
    <n v="5500"/>
    <n v="4678"/>
    <x v="0"/>
    <n v="55"/>
    <x v="1"/>
    <s v="USD"/>
    <n v="1454911200"/>
    <n v="1458104400"/>
    <b v="0"/>
    <b v="0"/>
    <s v="technology/web"/>
    <m/>
    <x v="2"/>
    <s v="web"/>
  </r>
  <r>
    <n v="961"/>
    <s v="Mason, Case and May"/>
    <s v="Optimized content-based collaboration"/>
    <n v="5700"/>
    <n v="6800"/>
    <x v="1"/>
    <n v="155"/>
    <x v="1"/>
    <s v="USD"/>
    <n v="1297922400"/>
    <n v="1298268000"/>
    <b v="0"/>
    <b v="0"/>
    <s v="publishing/translations"/>
    <m/>
    <x v="5"/>
    <s v="translations"/>
  </r>
  <r>
    <n v="962"/>
    <s v="Harris, Russell and Mitchell"/>
    <s v="User-centric cohesive policy"/>
    <n v="3600"/>
    <n v="10657"/>
    <x v="1"/>
    <n v="266"/>
    <x v="1"/>
    <s v="USD"/>
    <n v="1384408800"/>
    <n v="1386223200"/>
    <b v="0"/>
    <b v="0"/>
    <s v="food/food trucks"/>
    <m/>
    <x v="0"/>
    <s v="food trucks"/>
  </r>
  <r>
    <n v="963"/>
    <s v="Rodriguez-Robinson"/>
    <s v="Ergonomic methodical hub"/>
    <n v="5900"/>
    <n v="4997"/>
    <x v="0"/>
    <n v="114"/>
    <x v="6"/>
    <s v="EUR"/>
    <n v="1299304800"/>
    <n v="1299823200"/>
    <b v="0"/>
    <b v="1"/>
    <s v="photography/photography books"/>
    <m/>
    <x v="7"/>
    <s v="photography books"/>
  </r>
  <r>
    <n v="964"/>
    <s v="Peck, Higgins and Smith"/>
    <s v="Devolved disintermediate encryption"/>
    <n v="3700"/>
    <n v="13164"/>
    <x v="1"/>
    <n v="155"/>
    <x v="1"/>
    <s v="USD"/>
    <n v="1431320400"/>
    <n v="1431752400"/>
    <b v="0"/>
    <b v="0"/>
    <s v="theater/plays"/>
    <m/>
    <x v="3"/>
    <s v="plays"/>
  </r>
  <r>
    <n v="965"/>
    <s v="Nunez-King"/>
    <s v="Phased clear-thinking policy"/>
    <n v="2200"/>
    <n v="8501"/>
    <x v="1"/>
    <n v="207"/>
    <x v="4"/>
    <s v="GBP"/>
    <n v="1264399200"/>
    <n v="1267855200"/>
    <b v="0"/>
    <b v="0"/>
    <s v="music/rock"/>
    <m/>
    <x v="1"/>
    <s v="rock"/>
  </r>
  <r>
    <n v="966"/>
    <s v="Davis and Sons"/>
    <s v="Seamless solution-oriented capacity"/>
    <n v="1700"/>
    <n v="13468"/>
    <x v="1"/>
    <n v="245"/>
    <x v="1"/>
    <s v="USD"/>
    <n v="1497502800"/>
    <n v="1497675600"/>
    <b v="0"/>
    <b v="0"/>
    <s v="theater/plays"/>
    <m/>
    <x v="3"/>
    <s v="plays"/>
  </r>
  <r>
    <n v="967"/>
    <s v="Howard-Douglas"/>
    <s v="Organized human-resource attitude"/>
    <n v="88400"/>
    <n v="121138"/>
    <x v="1"/>
    <n v="1573"/>
    <x v="1"/>
    <s v="USD"/>
    <n v="1333688400"/>
    <n v="1336885200"/>
    <b v="0"/>
    <b v="0"/>
    <s v="music/world music"/>
    <m/>
    <x v="1"/>
    <s v="world music"/>
  </r>
  <r>
    <n v="968"/>
    <s v="Gonzalez-White"/>
    <s v="Open-architected disintermediate budgetary management"/>
    <n v="2400"/>
    <n v="8117"/>
    <x v="1"/>
    <n v="114"/>
    <x v="1"/>
    <s v="USD"/>
    <n v="1293861600"/>
    <n v="1295157600"/>
    <b v="0"/>
    <b v="0"/>
    <s v="food/food trucks"/>
    <m/>
    <x v="0"/>
    <s v="food trucks"/>
  </r>
  <r>
    <n v="969"/>
    <s v="Lopez-King"/>
    <s v="Multi-lateral radical solution"/>
    <n v="7900"/>
    <n v="8550"/>
    <x v="1"/>
    <n v="93"/>
    <x v="1"/>
    <s v="USD"/>
    <n v="1576994400"/>
    <n v="1577599200"/>
    <b v="0"/>
    <b v="0"/>
    <s v="theater/plays"/>
    <m/>
    <x v="3"/>
    <s v="plays"/>
  </r>
  <r>
    <n v="970"/>
    <s v="Glover-Nelson"/>
    <s v="Inverse context-sensitive info-mediaries"/>
    <n v="94900"/>
    <n v="57659"/>
    <x v="0"/>
    <n v="594"/>
    <x v="1"/>
    <s v="USD"/>
    <n v="1304917200"/>
    <n v="1305003600"/>
    <b v="0"/>
    <b v="0"/>
    <s v="theater/plays"/>
    <m/>
    <x v="3"/>
    <s v="plays"/>
  </r>
  <r>
    <n v="971"/>
    <s v="Garner and Sons"/>
    <s v="Versatile neutral workforce"/>
    <n v="5100"/>
    <n v="1414"/>
    <x v="0"/>
    <n v="24"/>
    <x v="1"/>
    <s v="USD"/>
    <n v="1381208400"/>
    <n v="1381726800"/>
    <b v="0"/>
    <b v="0"/>
    <s v="film &amp; video/television"/>
    <m/>
    <x v="4"/>
    <s v="television"/>
  </r>
  <r>
    <n v="972"/>
    <s v="Sellers, Roach and Garrison"/>
    <s v="Multi-tiered systematic knowledge user"/>
    <n v="42700"/>
    <n v="97524"/>
    <x v="1"/>
    <n v="1681"/>
    <x v="1"/>
    <s v="USD"/>
    <n v="1401685200"/>
    <n v="1402462800"/>
    <b v="0"/>
    <b v="1"/>
    <s v="technology/web"/>
    <m/>
    <x v="2"/>
    <s v="web"/>
  </r>
  <r>
    <n v="973"/>
    <s v="Herrera, Bennett and Silva"/>
    <s v="Programmable multi-state algorithm"/>
    <n v="121100"/>
    <n v="26176"/>
    <x v="0"/>
    <n v="252"/>
    <x v="1"/>
    <s v="USD"/>
    <n v="1291960800"/>
    <n v="1292133600"/>
    <b v="0"/>
    <b v="1"/>
    <s v="theater/plays"/>
    <m/>
    <x v="3"/>
    <s v="plays"/>
  </r>
  <r>
    <n v="974"/>
    <s v="Thomas, Clay and Mendoza"/>
    <s v="Multi-channeled reciprocal interface"/>
    <n v="800"/>
    <n v="2991"/>
    <x v="1"/>
    <n v="32"/>
    <x v="1"/>
    <s v="USD"/>
    <n v="1368853200"/>
    <n v="1368939600"/>
    <b v="0"/>
    <b v="0"/>
    <s v="music/indie rock"/>
    <m/>
    <x v="1"/>
    <s v="indie rock"/>
  </r>
  <r>
    <n v="975"/>
    <s v="Ayala Group"/>
    <s v="Right-sized maximized migration"/>
    <n v="5400"/>
    <n v="8366"/>
    <x v="1"/>
    <n v="135"/>
    <x v="1"/>
    <s v="USD"/>
    <n v="1448776800"/>
    <n v="1452146400"/>
    <b v="0"/>
    <b v="1"/>
    <s v="theater/plays"/>
    <m/>
    <x v="3"/>
    <s v="plays"/>
  </r>
  <r>
    <n v="976"/>
    <s v="Huerta, Roberts and Dickerson"/>
    <s v="Self-enabling value-added artificial intelligence"/>
    <n v="4000"/>
    <n v="12886"/>
    <x v="1"/>
    <n v="140"/>
    <x v="1"/>
    <s v="USD"/>
    <n v="1296194400"/>
    <n v="1296712800"/>
    <b v="0"/>
    <b v="1"/>
    <s v="theater/plays"/>
    <m/>
    <x v="3"/>
    <s v="plays"/>
  </r>
  <r>
    <n v="977"/>
    <s v="Johnson Group"/>
    <s v="Vision-oriented interactive solution"/>
    <n v="7000"/>
    <n v="5177"/>
    <x v="0"/>
    <n v="67"/>
    <x v="1"/>
    <s v="USD"/>
    <n v="1517983200"/>
    <n v="1520748000"/>
    <b v="0"/>
    <b v="0"/>
    <s v="food/food trucks"/>
    <m/>
    <x v="0"/>
    <s v="food trucks"/>
  </r>
  <r>
    <n v="978"/>
    <s v="Bailey, Nguyen and Martinez"/>
    <s v="Fundamental user-facing productivity"/>
    <n v="1000"/>
    <n v="8641"/>
    <x v="1"/>
    <n v="92"/>
    <x v="1"/>
    <s v="USD"/>
    <n v="1478930400"/>
    <n v="1480831200"/>
    <b v="0"/>
    <b v="0"/>
    <s v="games/video games"/>
    <m/>
    <x v="6"/>
    <s v="video games"/>
  </r>
  <r>
    <n v="979"/>
    <s v="Williams, Martin and Meyer"/>
    <s v="Innovative well-modulated capability"/>
    <n v="60200"/>
    <n v="86244"/>
    <x v="1"/>
    <n v="1015"/>
    <x v="4"/>
    <s v="GBP"/>
    <n v="1426395600"/>
    <n v="1426914000"/>
    <b v="0"/>
    <b v="0"/>
    <s v="theater/plays"/>
    <m/>
    <x v="3"/>
    <s v="plays"/>
  </r>
  <r>
    <n v="980"/>
    <s v="Huff-Johnson"/>
    <s v="Universal fault-tolerant orchestration"/>
    <n v="195200"/>
    <n v="78630"/>
    <x v="0"/>
    <n v="742"/>
    <x v="1"/>
    <s v="USD"/>
    <n v="1446181200"/>
    <n v="1446616800"/>
    <b v="1"/>
    <b v="0"/>
    <s v="publishing/nonfiction"/>
    <m/>
    <x v="5"/>
    <s v="nonfiction"/>
  </r>
  <r>
    <n v="981"/>
    <s v="Diaz-Little"/>
    <s v="Grass-roots executive synergy"/>
    <n v="6700"/>
    <n v="11941"/>
    <x v="1"/>
    <n v="323"/>
    <x v="1"/>
    <s v="USD"/>
    <n v="1514181600"/>
    <n v="1517032800"/>
    <b v="0"/>
    <b v="0"/>
    <s v="technology/web"/>
    <m/>
    <x v="2"/>
    <s v="web"/>
  </r>
  <r>
    <n v="982"/>
    <s v="Freeman-French"/>
    <s v="Multi-layered optimal application"/>
    <n v="7200"/>
    <n v="6115"/>
    <x v="0"/>
    <n v="75"/>
    <x v="1"/>
    <s v="USD"/>
    <n v="1311051600"/>
    <n v="1311224400"/>
    <b v="0"/>
    <b v="1"/>
    <s v="film &amp; video/documentary"/>
    <m/>
    <x v="4"/>
    <s v="documentary"/>
  </r>
  <r>
    <n v="983"/>
    <s v="Beck-Weber"/>
    <s v="Business-focused full-range core"/>
    <n v="129100"/>
    <n v="188404"/>
    <x v="1"/>
    <n v="2326"/>
    <x v="1"/>
    <s v="USD"/>
    <n v="1564894800"/>
    <n v="1566190800"/>
    <b v="0"/>
    <b v="0"/>
    <s v="film &amp; video/documentary"/>
    <m/>
    <x v="4"/>
    <s v="documentary"/>
  </r>
  <r>
    <n v="984"/>
    <s v="Lewis-Jacobson"/>
    <s v="Exclusive system-worthy Graphic Interface"/>
    <n v="6500"/>
    <n v="9910"/>
    <x v="1"/>
    <n v="381"/>
    <x v="1"/>
    <s v="USD"/>
    <n v="1567918800"/>
    <n v="1570165200"/>
    <b v="0"/>
    <b v="0"/>
    <s v="theater/plays"/>
    <m/>
    <x v="3"/>
    <s v="plays"/>
  </r>
  <r>
    <n v="985"/>
    <s v="Logan-Curtis"/>
    <s v="Enhanced optimal ability"/>
    <n v="170600"/>
    <n v="114523"/>
    <x v="0"/>
    <n v="4405"/>
    <x v="1"/>
    <s v="USD"/>
    <n v="1386309600"/>
    <n v="1388556000"/>
    <b v="0"/>
    <b v="1"/>
    <s v="music/rock"/>
    <m/>
    <x v="1"/>
    <s v="rock"/>
  </r>
  <r>
    <n v="986"/>
    <s v="Chan, Washington and Callahan"/>
    <s v="Optional zero administration neural-net"/>
    <n v="7800"/>
    <n v="3144"/>
    <x v="0"/>
    <n v="92"/>
    <x v="1"/>
    <s v="USD"/>
    <n v="1301979600"/>
    <n v="1303189200"/>
    <b v="0"/>
    <b v="0"/>
    <s v="music/rock"/>
    <m/>
    <x v="1"/>
    <s v="rock"/>
  </r>
  <r>
    <n v="987"/>
    <s v="Wilson Group"/>
    <s v="Ameliorated foreground focus group"/>
    <n v="6200"/>
    <n v="13441"/>
    <x v="1"/>
    <n v="480"/>
    <x v="1"/>
    <s v="USD"/>
    <n v="1493269200"/>
    <n v="1494478800"/>
    <b v="0"/>
    <b v="0"/>
    <s v="film &amp; video/documentary"/>
    <m/>
    <x v="4"/>
    <s v="documentary"/>
  </r>
  <r>
    <n v="988"/>
    <s v="Gardner, Ryan and Gutierrez"/>
    <s v="Triple-buffered multi-tasking matrices"/>
    <n v="9400"/>
    <n v="4899"/>
    <x v="0"/>
    <n v="64"/>
    <x v="1"/>
    <s v="USD"/>
    <n v="1478930400"/>
    <n v="1480744800"/>
    <b v="0"/>
    <b v="0"/>
    <s v="publishing/radio &amp; podcasts"/>
    <m/>
    <x v="5"/>
    <s v="radio &amp; podcasts"/>
  </r>
  <r>
    <n v="989"/>
    <s v="Hernandez Inc"/>
    <s v="Versatile dedicated migration"/>
    <n v="2400"/>
    <n v="11990"/>
    <x v="1"/>
    <n v="226"/>
    <x v="1"/>
    <s v="USD"/>
    <n v="1555390800"/>
    <n v="1555822800"/>
    <b v="0"/>
    <b v="0"/>
    <s v="publishing/translations"/>
    <m/>
    <x v="5"/>
    <s v="translations"/>
  </r>
  <r>
    <n v="990"/>
    <s v="Ortiz-Roberts"/>
    <s v="Devolved foreground customer loyalty"/>
    <n v="7800"/>
    <n v="6839"/>
    <x v="0"/>
    <n v="64"/>
    <x v="1"/>
    <s v="USD"/>
    <n v="1456984800"/>
    <n v="1458882000"/>
    <b v="0"/>
    <b v="1"/>
    <s v="film &amp; video/drama"/>
    <m/>
    <x v="4"/>
    <s v="drama"/>
  </r>
  <r>
    <n v="991"/>
    <s v="Ramirez LLC"/>
    <s v="Reduced reciprocal focus group"/>
    <n v="9800"/>
    <n v="11091"/>
    <x v="1"/>
    <n v="241"/>
    <x v="1"/>
    <s v="USD"/>
    <n v="1411621200"/>
    <n v="1411966800"/>
    <b v="0"/>
    <b v="1"/>
    <s v="music/rock"/>
    <m/>
    <x v="1"/>
    <s v="rock"/>
  </r>
  <r>
    <n v="992"/>
    <s v="Morrow Inc"/>
    <s v="Networked global migration"/>
    <n v="3100"/>
    <n v="13223"/>
    <x v="1"/>
    <n v="132"/>
    <x v="1"/>
    <s v="USD"/>
    <n v="1525669200"/>
    <n v="1526878800"/>
    <b v="0"/>
    <b v="1"/>
    <s v="film &amp; video/drama"/>
    <m/>
    <x v="4"/>
    <s v="drama"/>
  </r>
  <r>
    <n v="993"/>
    <s v="Erickson-Rogers"/>
    <s v="De-engineered even-keeled definition"/>
    <n v="9800"/>
    <n v="7608"/>
    <x v="3"/>
    <n v="75"/>
    <x v="6"/>
    <s v="EUR"/>
    <n v="1450936800"/>
    <n v="1452405600"/>
    <b v="0"/>
    <b v="1"/>
    <s v="photography/photography books"/>
    <m/>
    <x v="7"/>
    <s v="photography books"/>
  </r>
  <r>
    <n v="994"/>
    <s v="Leach, Rich and Price"/>
    <s v="Implemented bi-directional flexibility"/>
    <n v="141100"/>
    <n v="74073"/>
    <x v="0"/>
    <n v="842"/>
    <x v="1"/>
    <s v="USD"/>
    <n v="1413522000"/>
    <n v="1414040400"/>
    <b v="0"/>
    <b v="1"/>
    <s v="publishing/translations"/>
    <m/>
    <x v="5"/>
    <s v="translations"/>
  </r>
  <r>
    <n v="995"/>
    <s v="Manning-Hamilton"/>
    <s v="Vision-oriented scalable definition"/>
    <n v="97300"/>
    <n v="153216"/>
    <x v="1"/>
    <n v="2043"/>
    <x v="1"/>
    <s v="USD"/>
    <n v="1541307600"/>
    <n v="1543816800"/>
    <b v="0"/>
    <b v="1"/>
    <s v="food/food trucks"/>
    <m/>
    <x v="0"/>
    <s v="food trucks"/>
  </r>
  <r>
    <n v="996"/>
    <s v="Butler LLC"/>
    <s v="Future-proofed upward-trending migration"/>
    <n v="6600"/>
    <n v="4814"/>
    <x v="0"/>
    <n v="112"/>
    <x v="1"/>
    <s v="USD"/>
    <n v="1357106400"/>
    <n v="1359698400"/>
    <b v="0"/>
    <b v="0"/>
    <s v="theater/plays"/>
    <m/>
    <x v="3"/>
    <s v="plays"/>
  </r>
  <r>
    <n v="997"/>
    <s v="Ball LLC"/>
    <s v="Right-sized full-range throughput"/>
    <n v="7600"/>
    <n v="4603"/>
    <x v="3"/>
    <n v="139"/>
    <x v="6"/>
    <s v="EUR"/>
    <n v="1390197600"/>
    <n v="1390629600"/>
    <b v="0"/>
    <b v="0"/>
    <s v="theater/plays"/>
    <m/>
    <x v="3"/>
    <s v="plays"/>
  </r>
  <r>
    <n v="998"/>
    <s v="Taylor, Santiago and Flores"/>
    <s v="Polarized composite customer loyalty"/>
    <n v="66600"/>
    <n v="37823"/>
    <x v="0"/>
    <n v="374"/>
    <x v="1"/>
    <s v="USD"/>
    <n v="1265868000"/>
    <n v="1267077600"/>
    <b v="0"/>
    <b v="1"/>
    <s v="music/indie rock"/>
    <m/>
    <x v="1"/>
    <s v="indie rock"/>
  </r>
  <r>
    <n v="999"/>
    <s v="Hernandez, Norton and Kelley"/>
    <s v="Expanded eco-centric policy"/>
    <n v="111100"/>
    <n v="62819"/>
    <x v="3"/>
    <n v="1122"/>
    <x v="1"/>
    <s v="USD"/>
    <n v="1467176400"/>
    <n v="1467781200"/>
    <b v="0"/>
    <b v="0"/>
    <s v="food/food trucks"/>
    <m/>
    <x v="0"/>
    <s v="food trucks"/>
  </r>
  <r>
    <m/>
    <m/>
    <m/>
    <m/>
    <m/>
    <x v="4"/>
    <m/>
    <x v="7"/>
    <m/>
    <m/>
    <m/>
    <m/>
    <m/>
    <m/>
    <m/>
    <x v="9"/>
    <m/>
  </r>
  <r>
    <m/>
    <m/>
    <m/>
    <m/>
    <m/>
    <x v="4"/>
    <m/>
    <x v="7"/>
    <m/>
    <m/>
    <m/>
    <m/>
    <m/>
    <m/>
    <m/>
    <x v="9"/>
    <m/>
  </r>
  <r>
    <m/>
    <m/>
    <m/>
    <m/>
    <m/>
    <x v="4"/>
    <m/>
    <x v="7"/>
    <m/>
    <m/>
    <m/>
    <m/>
    <m/>
    <m/>
    <m/>
    <x v="9"/>
    <m/>
  </r>
  <r>
    <m/>
    <m/>
    <m/>
    <m/>
    <m/>
    <x v="4"/>
    <m/>
    <x v="7"/>
    <m/>
    <m/>
    <m/>
    <m/>
    <m/>
    <m/>
    <m/>
    <x v="9"/>
    <m/>
  </r>
  <r>
    <m/>
    <m/>
    <m/>
    <m/>
    <m/>
    <x v="4"/>
    <m/>
    <x v="7"/>
    <m/>
    <m/>
    <m/>
    <m/>
    <m/>
    <m/>
    <m/>
    <x v="9"/>
    <m/>
  </r>
  <r>
    <m/>
    <m/>
    <m/>
    <m/>
    <m/>
    <x v="4"/>
    <m/>
    <x v="7"/>
    <m/>
    <m/>
    <m/>
    <m/>
    <m/>
    <m/>
    <m/>
    <x v="9"/>
    <m/>
  </r>
  <r>
    <m/>
    <m/>
    <m/>
    <m/>
    <m/>
    <x v="4"/>
    <m/>
    <x v="7"/>
    <m/>
    <m/>
    <m/>
    <m/>
    <m/>
    <m/>
    <m/>
    <x v="9"/>
    <m/>
  </r>
  <r>
    <m/>
    <m/>
    <m/>
    <m/>
    <m/>
    <x v="4"/>
    <m/>
    <x v="7"/>
    <m/>
    <m/>
    <m/>
    <m/>
    <m/>
    <m/>
    <m/>
    <x v="9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BA81D5-C17F-4FF5-8F97-D49528F9217B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R1000:W1011" firstHeaderRow="1" firstDataRow="2" firstDataCol="1" rowPageCount="1" colPageCount="1"/>
  <pivotFields count="17"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</pivotFields>
  <rowFields count="1">
    <field x="1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7" hier="-1"/>
  </pageFields>
  <dataFields count="1">
    <dataField name="Count of outcome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EF8BD-8CF7-47A2-B46C-616938E6B350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F14" firstHeaderRow="1" firstDataRow="2" firstDataCol="1" rowPageCount="1" colPageCount="1"/>
  <pivotFields count="17"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h="1" x="4"/>
        <item t="default"/>
      </items>
    </pivotField>
    <pivotField showAll="0"/>
    <pivotField axis="axisPage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showAll="0"/>
  </pivotFields>
  <rowFields count="1">
    <field x="1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7" hier="-1"/>
  </pageFields>
  <dataFields count="1">
    <dataField name="Count of outcom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FB4374-60AA-4F77-BC4F-CEB984027BC7}" name="Table1" displayName="Table1" ref="A1:H13" totalsRowShown="0" dataDxfId="10" dataCellStyle="Percent">
  <autoFilter ref="A1:H13" xr:uid="{C2FB4374-60AA-4F77-BC4F-CEB984027BC7}"/>
  <tableColumns count="8">
    <tableColumn id="1" xr3:uid="{DA554768-91D1-41A2-8504-E69D1296361F}" name="Goal"/>
    <tableColumn id="2" xr3:uid="{452EF1E5-C780-4C57-A69B-7CEEB00B1293}" name="Number Successful"/>
    <tableColumn id="3" xr3:uid="{8221572E-28AF-49DB-8E6C-0B32332EC1F6}" name="Number Failed"/>
    <tableColumn id="4" xr3:uid="{7D05703A-F34F-41BA-858B-ABD1FA022279}" name="Number Canceled"/>
    <tableColumn id="5" xr3:uid="{FFC9BDF7-B054-493C-81BD-6874B5D337DA}" name="Total Projects">
      <calculatedColumnFormula>SUM(B2:D2)</calculatedColumnFormula>
    </tableColumn>
    <tableColumn id="6" xr3:uid="{9F9C4C84-A7DC-4E2E-8DC4-983A5BE32C0B}" name="Percentage Successful" dataDxfId="13" dataCellStyle="Percent">
      <calculatedColumnFormula>B2/E2</calculatedColumnFormula>
    </tableColumn>
    <tableColumn id="7" xr3:uid="{F709C3C8-D52D-4BE2-9915-2A31F197EC70}" name="Percentage Failed" dataDxfId="12" dataCellStyle="Percent">
      <calculatedColumnFormula>C2/E2</calculatedColumnFormula>
    </tableColumn>
    <tableColumn id="8" xr3:uid="{66CC99E2-F0B2-4069-8DC4-2C1B5B47420E}" name="Percentage Canceled" dataDxfId="11" dataCellStyle="Percent">
      <calculatedColumnFormula>D2/E2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011"/>
  <sheetViews>
    <sheetView tabSelected="1" workbookViewId="0">
      <selection activeCell="G1" sqref="G1:G1048576"/>
    </sheetView>
  </sheetViews>
  <sheetFormatPr defaultColWidth="11.19921875" defaultRowHeight="15.6" x14ac:dyDescent="0.3"/>
  <cols>
    <col min="1" max="1" width="4.19921875" bestFit="1" customWidth="1"/>
    <col min="2" max="2" width="30.69921875" bestFit="1" customWidth="1"/>
    <col min="3" max="3" width="33.5" style="3" customWidth="1"/>
    <col min="7" max="7" width="13" bestFit="1" customWidth="1"/>
    <col min="10" max="11" width="11.19921875" bestFit="1" customWidth="1"/>
    <col min="14" max="14" width="28" bestFit="1" customWidth="1"/>
    <col min="15" max="15" width="16.796875" bestFit="1" customWidth="1"/>
    <col min="16" max="16" width="14.3984375" customWidth="1"/>
    <col min="17" max="17" width="15.796875" customWidth="1"/>
    <col min="18" max="18" width="16.19921875" bestFit="1" customWidth="1"/>
    <col min="19" max="19" width="15.19921875" bestFit="1" customWidth="1"/>
    <col min="20" max="20" width="5.59765625" bestFit="1" customWidth="1"/>
    <col min="21" max="21" width="3.796875" bestFit="1" customWidth="1"/>
    <col min="22" max="22" width="9.19921875" bestFit="1" customWidth="1"/>
    <col min="23" max="23" width="10.8984375" bestFit="1" customWidth="1"/>
  </cols>
  <sheetData>
    <row r="1" spans="1:17" s="1" customFormat="1" x14ac:dyDescent="0.3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2028</v>
      </c>
      <c r="O1" s="1" t="s">
        <v>2029</v>
      </c>
      <c r="P1" s="1" t="s">
        <v>2030</v>
      </c>
      <c r="Q1" s="1" t="s">
        <v>2031</v>
      </c>
    </row>
    <row r="2" spans="1:17" x14ac:dyDescent="0.3">
      <c r="A2">
        <v>0</v>
      </c>
      <c r="B2" t="s">
        <v>12</v>
      </c>
      <c r="C2" s="3" t="s">
        <v>13</v>
      </c>
      <c r="D2">
        <v>100</v>
      </c>
      <c r="E2">
        <v>0</v>
      </c>
      <c r="F2" t="s">
        <v>14</v>
      </c>
      <c r="G2">
        <v>0</v>
      </c>
      <c r="H2" t="s">
        <v>15</v>
      </c>
      <c r="I2" t="s">
        <v>16</v>
      </c>
      <c r="J2">
        <v>1448690400</v>
      </c>
      <c r="K2">
        <v>1450159200</v>
      </c>
      <c r="L2" t="b">
        <v>0</v>
      </c>
      <c r="M2" t="b">
        <v>0</v>
      </c>
      <c r="N2" t="s">
        <v>17</v>
      </c>
      <c r="O2" s="4" t="e">
        <f>D2/E2</f>
        <v>#DIV/0!</v>
      </c>
      <c r="P2" t="str">
        <f>LEFT(N2,SEARCH("/",N2) -1)</f>
        <v>food</v>
      </c>
      <c r="Q2" t="str">
        <f>RIGHT(N2,LEN(N2)-SEARCH("/",N2))</f>
        <v>food trucks</v>
      </c>
    </row>
    <row r="3" spans="1:17" x14ac:dyDescent="0.3">
      <c r="A3">
        <v>1</v>
      </c>
      <c r="B3" t="s">
        <v>18</v>
      </c>
      <c r="C3" s="3" t="s">
        <v>19</v>
      </c>
      <c r="D3">
        <v>1400</v>
      </c>
      <c r="E3">
        <v>14560</v>
      </c>
      <c r="F3" t="s">
        <v>20</v>
      </c>
      <c r="G3">
        <v>158</v>
      </c>
      <c r="H3" t="s">
        <v>21</v>
      </c>
      <c r="I3" t="s">
        <v>22</v>
      </c>
      <c r="J3">
        <v>1408424400</v>
      </c>
      <c r="K3">
        <v>1408597200</v>
      </c>
      <c r="L3" t="b">
        <v>0</v>
      </c>
      <c r="M3" t="b">
        <v>1</v>
      </c>
      <c r="N3" t="s">
        <v>23</v>
      </c>
      <c r="O3" s="4">
        <f t="shared" ref="O3:O66" si="0">D3/E3</f>
        <v>9.6153846153846159E-2</v>
      </c>
      <c r="P3" t="str">
        <f t="shared" ref="P3:P66" si="1">LEFT(N3,SEARCH("/",N3) -1)</f>
        <v>music</v>
      </c>
      <c r="Q3" t="str">
        <f t="shared" ref="Q3:Q66" si="2">RIGHT(N3,LEN(N3)-SEARCH("/",N3))</f>
        <v>rock</v>
      </c>
    </row>
    <row r="4" spans="1:17" ht="31.2" x14ac:dyDescent="0.3">
      <c r="A4">
        <v>2</v>
      </c>
      <c r="B4" t="s">
        <v>24</v>
      </c>
      <c r="C4" s="3" t="s">
        <v>25</v>
      </c>
      <c r="D4">
        <v>108400</v>
      </c>
      <c r="E4">
        <v>142523</v>
      </c>
      <c r="F4" t="s">
        <v>20</v>
      </c>
      <c r="G4">
        <v>1425</v>
      </c>
      <c r="H4" t="s">
        <v>26</v>
      </c>
      <c r="I4" t="s">
        <v>27</v>
      </c>
      <c r="J4">
        <v>1384668000</v>
      </c>
      <c r="K4">
        <v>1384840800</v>
      </c>
      <c r="L4" t="b">
        <v>0</v>
      </c>
      <c r="M4" t="b">
        <v>0</v>
      </c>
      <c r="N4" t="s">
        <v>28</v>
      </c>
      <c r="O4" s="4">
        <f t="shared" si="0"/>
        <v>0.7605789942675919</v>
      </c>
      <c r="P4" t="str">
        <f t="shared" si="1"/>
        <v>technology</v>
      </c>
      <c r="Q4" t="str">
        <f t="shared" si="2"/>
        <v>web</v>
      </c>
    </row>
    <row r="5" spans="1:17" ht="31.2" x14ac:dyDescent="0.3">
      <c r="A5">
        <v>3</v>
      </c>
      <c r="B5" t="s">
        <v>29</v>
      </c>
      <c r="C5" s="3" t="s">
        <v>30</v>
      </c>
      <c r="D5">
        <v>4200</v>
      </c>
      <c r="E5">
        <v>2477</v>
      </c>
      <c r="F5" t="s">
        <v>14</v>
      </c>
      <c r="G5">
        <v>24</v>
      </c>
      <c r="H5" t="s">
        <v>21</v>
      </c>
      <c r="I5" t="s">
        <v>22</v>
      </c>
      <c r="J5">
        <v>1565499600</v>
      </c>
      <c r="K5">
        <v>1568955600</v>
      </c>
      <c r="L5" t="b">
        <v>0</v>
      </c>
      <c r="M5" t="b">
        <v>0</v>
      </c>
      <c r="N5" t="s">
        <v>23</v>
      </c>
      <c r="O5" s="4">
        <f t="shared" si="0"/>
        <v>1.6955995155429955</v>
      </c>
      <c r="P5" t="str">
        <f t="shared" si="1"/>
        <v>music</v>
      </c>
      <c r="Q5" t="str">
        <f t="shared" si="2"/>
        <v>rock</v>
      </c>
    </row>
    <row r="6" spans="1:17" x14ac:dyDescent="0.3">
      <c r="A6">
        <v>4</v>
      </c>
      <c r="B6" t="s">
        <v>31</v>
      </c>
      <c r="C6" s="3" t="s">
        <v>32</v>
      </c>
      <c r="D6">
        <v>7600</v>
      </c>
      <c r="E6">
        <v>5265</v>
      </c>
      <c r="F6" t="s">
        <v>14</v>
      </c>
      <c r="G6">
        <v>53</v>
      </c>
      <c r="H6" t="s">
        <v>21</v>
      </c>
      <c r="I6" t="s">
        <v>22</v>
      </c>
      <c r="J6">
        <v>1547964000</v>
      </c>
      <c r="K6">
        <v>1548309600</v>
      </c>
      <c r="L6" t="b">
        <v>0</v>
      </c>
      <c r="M6" t="b">
        <v>0</v>
      </c>
      <c r="N6" t="s">
        <v>33</v>
      </c>
      <c r="O6" s="4">
        <f t="shared" si="0"/>
        <v>1.4434947768281101</v>
      </c>
      <c r="P6" t="str">
        <f t="shared" si="1"/>
        <v>theater</v>
      </c>
      <c r="Q6" t="str">
        <f t="shared" si="2"/>
        <v>plays</v>
      </c>
    </row>
    <row r="7" spans="1:17" x14ac:dyDescent="0.3">
      <c r="A7" t="e">
        <f>D2/E2</f>
        <v>#DIV/0!</v>
      </c>
      <c r="B7" t="s">
        <v>34</v>
      </c>
      <c r="C7" s="3" t="s">
        <v>35</v>
      </c>
      <c r="D7">
        <v>7600</v>
      </c>
      <c r="E7">
        <v>13195</v>
      </c>
      <c r="F7" t="s">
        <v>20</v>
      </c>
      <c r="G7">
        <v>174</v>
      </c>
      <c r="H7" t="s">
        <v>36</v>
      </c>
      <c r="I7" t="s">
        <v>37</v>
      </c>
      <c r="J7">
        <v>1346130000</v>
      </c>
      <c r="K7">
        <v>1347080400</v>
      </c>
      <c r="L7" t="b">
        <v>0</v>
      </c>
      <c r="M7" t="b">
        <v>0</v>
      </c>
      <c r="N7" t="s">
        <v>33</v>
      </c>
      <c r="O7" s="4">
        <f t="shared" si="0"/>
        <v>0.57597574838954146</v>
      </c>
      <c r="P7" t="str">
        <f t="shared" si="1"/>
        <v>theater</v>
      </c>
      <c r="Q7" t="str">
        <f t="shared" si="2"/>
        <v>plays</v>
      </c>
    </row>
    <row r="8" spans="1:17" x14ac:dyDescent="0.3">
      <c r="A8">
        <v>6</v>
      </c>
      <c r="B8" t="s">
        <v>38</v>
      </c>
      <c r="C8" s="3" t="s">
        <v>39</v>
      </c>
      <c r="D8">
        <v>5200</v>
      </c>
      <c r="E8">
        <v>1090</v>
      </c>
      <c r="F8" t="s">
        <v>14</v>
      </c>
      <c r="G8">
        <v>18</v>
      </c>
      <c r="H8" t="s">
        <v>40</v>
      </c>
      <c r="I8" t="s">
        <v>41</v>
      </c>
      <c r="J8">
        <v>1505278800</v>
      </c>
      <c r="K8">
        <v>1505365200</v>
      </c>
      <c r="L8" t="b">
        <v>0</v>
      </c>
      <c r="M8" t="b">
        <v>0</v>
      </c>
      <c r="N8" t="s">
        <v>42</v>
      </c>
      <c r="O8" s="4">
        <f t="shared" si="0"/>
        <v>4.7706422018348622</v>
      </c>
      <c r="P8" t="str">
        <f t="shared" si="1"/>
        <v>film &amp; video</v>
      </c>
      <c r="Q8" t="str">
        <f t="shared" si="2"/>
        <v>documentary</v>
      </c>
    </row>
    <row r="9" spans="1:17" x14ac:dyDescent="0.3">
      <c r="A9">
        <v>7</v>
      </c>
      <c r="B9" t="s">
        <v>43</v>
      </c>
      <c r="C9" s="3" t="s">
        <v>44</v>
      </c>
      <c r="D9">
        <v>4500</v>
      </c>
      <c r="E9">
        <v>14741</v>
      </c>
      <c r="F9" t="s">
        <v>20</v>
      </c>
      <c r="G9">
        <v>227</v>
      </c>
      <c r="H9" t="s">
        <v>36</v>
      </c>
      <c r="I9" t="s">
        <v>37</v>
      </c>
      <c r="J9">
        <v>1439442000</v>
      </c>
      <c r="K9">
        <v>1439614800</v>
      </c>
      <c r="L9" t="b">
        <v>0</v>
      </c>
      <c r="M9" t="b">
        <v>0</v>
      </c>
      <c r="N9" t="s">
        <v>33</v>
      </c>
      <c r="O9" s="4">
        <f t="shared" si="0"/>
        <v>0.30527101282138253</v>
      </c>
      <c r="P9" t="str">
        <f t="shared" si="1"/>
        <v>theater</v>
      </c>
      <c r="Q9" t="str">
        <f t="shared" si="2"/>
        <v>plays</v>
      </c>
    </row>
    <row r="10" spans="1:17" x14ac:dyDescent="0.3">
      <c r="A10">
        <v>8</v>
      </c>
      <c r="B10" t="s">
        <v>45</v>
      </c>
      <c r="C10" s="3" t="s">
        <v>46</v>
      </c>
      <c r="D10">
        <v>110100</v>
      </c>
      <c r="E10">
        <v>21946</v>
      </c>
      <c r="F10" t="s">
        <v>47</v>
      </c>
      <c r="G10">
        <v>708</v>
      </c>
      <c r="H10" t="s">
        <v>36</v>
      </c>
      <c r="I10" t="s">
        <v>37</v>
      </c>
      <c r="J10">
        <v>1281330000</v>
      </c>
      <c r="K10">
        <v>1281502800</v>
      </c>
      <c r="L10" t="b">
        <v>0</v>
      </c>
      <c r="M10" t="b">
        <v>0</v>
      </c>
      <c r="N10" t="s">
        <v>33</v>
      </c>
      <c r="O10" s="4">
        <f t="shared" si="0"/>
        <v>5.0168595643853093</v>
      </c>
      <c r="P10" t="str">
        <f t="shared" si="1"/>
        <v>theater</v>
      </c>
      <c r="Q10" t="str">
        <f t="shared" si="2"/>
        <v>plays</v>
      </c>
    </row>
    <row r="11" spans="1:17" x14ac:dyDescent="0.3">
      <c r="A11">
        <v>9</v>
      </c>
      <c r="B11" t="s">
        <v>48</v>
      </c>
      <c r="C11" s="3" t="s">
        <v>49</v>
      </c>
      <c r="D11">
        <v>6200</v>
      </c>
      <c r="E11">
        <v>3208</v>
      </c>
      <c r="F11" t="s">
        <v>14</v>
      </c>
      <c r="G11">
        <v>44</v>
      </c>
      <c r="H11" t="s">
        <v>21</v>
      </c>
      <c r="I11" t="s">
        <v>22</v>
      </c>
      <c r="J11">
        <v>1379566800</v>
      </c>
      <c r="K11">
        <v>1383804000</v>
      </c>
      <c r="L11" t="b">
        <v>0</v>
      </c>
      <c r="M11" t="b">
        <v>0</v>
      </c>
      <c r="N11" t="s">
        <v>50</v>
      </c>
      <c r="O11" s="4">
        <f t="shared" si="0"/>
        <v>1.9326683291770574</v>
      </c>
      <c r="P11" t="str">
        <f t="shared" si="1"/>
        <v>music</v>
      </c>
      <c r="Q11" t="str">
        <f t="shared" si="2"/>
        <v>electric music</v>
      </c>
    </row>
    <row r="12" spans="1:17" x14ac:dyDescent="0.3">
      <c r="A12">
        <v>10</v>
      </c>
      <c r="B12" t="s">
        <v>51</v>
      </c>
      <c r="C12" s="3" t="s">
        <v>52</v>
      </c>
      <c r="D12">
        <v>5200</v>
      </c>
      <c r="E12">
        <v>13838</v>
      </c>
      <c r="F12" t="s">
        <v>20</v>
      </c>
      <c r="G12">
        <v>220</v>
      </c>
      <c r="H12" t="s">
        <v>21</v>
      </c>
      <c r="I12" t="s">
        <v>22</v>
      </c>
      <c r="J12">
        <v>1281762000</v>
      </c>
      <c r="K12">
        <v>1285909200</v>
      </c>
      <c r="L12" t="b">
        <v>0</v>
      </c>
      <c r="M12" t="b">
        <v>0</v>
      </c>
      <c r="N12" t="s">
        <v>53</v>
      </c>
      <c r="O12" s="4">
        <f t="shared" si="0"/>
        <v>0.37577684636508168</v>
      </c>
      <c r="P12" t="str">
        <f t="shared" si="1"/>
        <v>film &amp; video</v>
      </c>
      <c r="Q12" t="str">
        <f t="shared" si="2"/>
        <v>drama</v>
      </c>
    </row>
    <row r="13" spans="1:17" ht="31.2" x14ac:dyDescent="0.3">
      <c r="A13">
        <v>11</v>
      </c>
      <c r="B13" t="s">
        <v>54</v>
      </c>
      <c r="C13" s="3" t="s">
        <v>55</v>
      </c>
      <c r="D13">
        <v>6300</v>
      </c>
      <c r="E13">
        <v>3030</v>
      </c>
      <c r="F13" t="s">
        <v>14</v>
      </c>
      <c r="G13">
        <v>27</v>
      </c>
      <c r="H13" t="s">
        <v>21</v>
      </c>
      <c r="I13" t="s">
        <v>22</v>
      </c>
      <c r="J13">
        <v>1285045200</v>
      </c>
      <c r="K13">
        <v>1285563600</v>
      </c>
      <c r="L13" t="b">
        <v>0</v>
      </c>
      <c r="M13" t="b">
        <v>1</v>
      </c>
      <c r="N13" t="s">
        <v>33</v>
      </c>
      <c r="O13" s="4">
        <f t="shared" si="0"/>
        <v>2.0792079207920793</v>
      </c>
      <c r="P13" t="str">
        <f t="shared" si="1"/>
        <v>theater</v>
      </c>
      <c r="Q13" t="str">
        <f t="shared" si="2"/>
        <v>plays</v>
      </c>
    </row>
    <row r="14" spans="1:17" x14ac:dyDescent="0.3">
      <c r="A14">
        <v>12</v>
      </c>
      <c r="B14" t="s">
        <v>56</v>
      </c>
      <c r="C14" s="3" t="s">
        <v>57</v>
      </c>
      <c r="D14">
        <v>6300</v>
      </c>
      <c r="E14">
        <v>5629</v>
      </c>
      <c r="F14" t="s">
        <v>14</v>
      </c>
      <c r="G14">
        <v>55</v>
      </c>
      <c r="H14" t="s">
        <v>21</v>
      </c>
      <c r="I14" t="s">
        <v>22</v>
      </c>
      <c r="J14">
        <v>1571720400</v>
      </c>
      <c r="K14">
        <v>1572411600</v>
      </c>
      <c r="L14" t="b">
        <v>0</v>
      </c>
      <c r="M14" t="b">
        <v>0</v>
      </c>
      <c r="N14" t="s">
        <v>53</v>
      </c>
      <c r="O14" s="4">
        <f t="shared" si="0"/>
        <v>1.1192041215135904</v>
      </c>
      <c r="P14" t="str">
        <f t="shared" si="1"/>
        <v>film &amp; video</v>
      </c>
      <c r="Q14" t="str">
        <f t="shared" si="2"/>
        <v>drama</v>
      </c>
    </row>
    <row r="15" spans="1:17" ht="31.2" x14ac:dyDescent="0.3">
      <c r="A15">
        <v>13</v>
      </c>
      <c r="B15" t="s">
        <v>58</v>
      </c>
      <c r="C15" s="3" t="s">
        <v>59</v>
      </c>
      <c r="D15">
        <v>4200</v>
      </c>
      <c r="E15">
        <v>10295</v>
      </c>
      <c r="F15" t="s">
        <v>20</v>
      </c>
      <c r="G15">
        <v>98</v>
      </c>
      <c r="H15" t="s">
        <v>21</v>
      </c>
      <c r="I15" t="s">
        <v>22</v>
      </c>
      <c r="J15">
        <v>1465621200</v>
      </c>
      <c r="K15">
        <v>1466658000</v>
      </c>
      <c r="L15" t="b">
        <v>0</v>
      </c>
      <c r="M15" t="b">
        <v>0</v>
      </c>
      <c r="N15" t="s">
        <v>60</v>
      </c>
      <c r="O15" s="4">
        <f t="shared" si="0"/>
        <v>0.40796503156872266</v>
      </c>
      <c r="P15" t="str">
        <f t="shared" si="1"/>
        <v>music</v>
      </c>
      <c r="Q15" t="str">
        <f t="shared" si="2"/>
        <v>indie rock</v>
      </c>
    </row>
    <row r="16" spans="1:17" x14ac:dyDescent="0.3">
      <c r="A16">
        <v>14</v>
      </c>
      <c r="B16" t="s">
        <v>61</v>
      </c>
      <c r="C16" s="3" t="s">
        <v>62</v>
      </c>
      <c r="D16">
        <v>28200</v>
      </c>
      <c r="E16">
        <v>18829</v>
      </c>
      <c r="F16" t="s">
        <v>14</v>
      </c>
      <c r="G16">
        <v>200</v>
      </c>
      <c r="H16" t="s">
        <v>21</v>
      </c>
      <c r="I16" t="s">
        <v>22</v>
      </c>
      <c r="J16">
        <v>1331013600</v>
      </c>
      <c r="K16">
        <v>1333342800</v>
      </c>
      <c r="L16" t="b">
        <v>0</v>
      </c>
      <c r="M16" t="b">
        <v>0</v>
      </c>
      <c r="N16" t="s">
        <v>60</v>
      </c>
      <c r="O16" s="4">
        <f t="shared" si="0"/>
        <v>1.4976897339210793</v>
      </c>
      <c r="P16" t="str">
        <f t="shared" si="1"/>
        <v>music</v>
      </c>
      <c r="Q16" t="str">
        <f t="shared" si="2"/>
        <v>indie rock</v>
      </c>
    </row>
    <row r="17" spans="1:17" x14ac:dyDescent="0.3">
      <c r="A17">
        <v>15</v>
      </c>
      <c r="B17" t="s">
        <v>63</v>
      </c>
      <c r="C17" s="3" t="s">
        <v>64</v>
      </c>
      <c r="D17">
        <v>81200</v>
      </c>
      <c r="E17">
        <v>38414</v>
      </c>
      <c r="F17" t="s">
        <v>14</v>
      </c>
      <c r="G17">
        <v>452</v>
      </c>
      <c r="H17" t="s">
        <v>21</v>
      </c>
      <c r="I17" t="s">
        <v>22</v>
      </c>
      <c r="J17">
        <v>1575957600</v>
      </c>
      <c r="K17">
        <v>1576303200</v>
      </c>
      <c r="L17" t="b">
        <v>0</v>
      </c>
      <c r="M17" t="b">
        <v>0</v>
      </c>
      <c r="N17" t="s">
        <v>65</v>
      </c>
      <c r="O17" s="4">
        <f t="shared" si="0"/>
        <v>2.1138126724631645</v>
      </c>
      <c r="P17" t="str">
        <f t="shared" si="1"/>
        <v>technology</v>
      </c>
      <c r="Q17" t="str">
        <f t="shared" si="2"/>
        <v>wearables</v>
      </c>
    </row>
    <row r="18" spans="1:17" x14ac:dyDescent="0.3">
      <c r="A18">
        <v>16</v>
      </c>
      <c r="B18" t="s">
        <v>66</v>
      </c>
      <c r="C18" s="3" t="s">
        <v>67</v>
      </c>
      <c r="D18">
        <v>1700</v>
      </c>
      <c r="E18">
        <v>11041</v>
      </c>
      <c r="F18" t="s">
        <v>20</v>
      </c>
      <c r="G18">
        <v>100</v>
      </c>
      <c r="H18" t="s">
        <v>21</v>
      </c>
      <c r="I18" t="s">
        <v>22</v>
      </c>
      <c r="J18">
        <v>1390370400</v>
      </c>
      <c r="K18">
        <v>1392271200</v>
      </c>
      <c r="L18" t="b">
        <v>0</v>
      </c>
      <c r="M18" t="b">
        <v>0</v>
      </c>
      <c r="N18" t="s">
        <v>68</v>
      </c>
      <c r="O18" s="4">
        <f t="shared" si="0"/>
        <v>0.15397156054705191</v>
      </c>
      <c r="P18" t="str">
        <f t="shared" si="1"/>
        <v>publishing</v>
      </c>
      <c r="Q18" t="str">
        <f t="shared" si="2"/>
        <v>nonfiction</v>
      </c>
    </row>
    <row r="19" spans="1:17" x14ac:dyDescent="0.3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t="s">
        <v>20</v>
      </c>
      <c r="G19">
        <v>1249</v>
      </c>
      <c r="H19" t="s">
        <v>21</v>
      </c>
      <c r="I19" t="s">
        <v>22</v>
      </c>
      <c r="J19">
        <v>1294812000</v>
      </c>
      <c r="K19">
        <v>1294898400</v>
      </c>
      <c r="L19" t="b">
        <v>0</v>
      </c>
      <c r="M19" t="b">
        <v>0</v>
      </c>
      <c r="N19" t="s">
        <v>71</v>
      </c>
      <c r="O19" s="4">
        <f t="shared" si="0"/>
        <v>0.62738699988876112</v>
      </c>
      <c r="P19" t="str">
        <f t="shared" si="1"/>
        <v>film &amp; video</v>
      </c>
      <c r="Q19" t="str">
        <f t="shared" si="2"/>
        <v>animation</v>
      </c>
    </row>
    <row r="20" spans="1:17" x14ac:dyDescent="0.3">
      <c r="A20">
        <v>18</v>
      </c>
      <c r="B20" t="s">
        <v>72</v>
      </c>
      <c r="C20" s="3" t="s">
        <v>73</v>
      </c>
      <c r="D20">
        <v>9100</v>
      </c>
      <c r="E20">
        <v>6089</v>
      </c>
      <c r="F20" t="s">
        <v>74</v>
      </c>
      <c r="G20">
        <v>135</v>
      </c>
      <c r="H20" t="s">
        <v>21</v>
      </c>
      <c r="I20" t="s">
        <v>22</v>
      </c>
      <c r="J20">
        <v>1536382800</v>
      </c>
      <c r="K20">
        <v>1537074000</v>
      </c>
      <c r="L20" t="b">
        <v>0</v>
      </c>
      <c r="M20" t="b">
        <v>0</v>
      </c>
      <c r="N20" t="s">
        <v>33</v>
      </c>
      <c r="O20" s="4">
        <f t="shared" si="0"/>
        <v>1.4944982755789127</v>
      </c>
      <c r="P20" t="str">
        <f t="shared" si="1"/>
        <v>theater</v>
      </c>
      <c r="Q20" t="str">
        <f t="shared" si="2"/>
        <v>plays</v>
      </c>
    </row>
    <row r="21" spans="1:17" x14ac:dyDescent="0.3">
      <c r="A21">
        <v>19</v>
      </c>
      <c r="B21" t="s">
        <v>75</v>
      </c>
      <c r="C21" s="3" t="s">
        <v>76</v>
      </c>
      <c r="D21">
        <v>62500</v>
      </c>
      <c r="E21">
        <v>30331</v>
      </c>
      <c r="F21" t="s">
        <v>14</v>
      </c>
      <c r="G21">
        <v>674</v>
      </c>
      <c r="H21" t="s">
        <v>21</v>
      </c>
      <c r="I21" t="s">
        <v>22</v>
      </c>
      <c r="J21">
        <v>1551679200</v>
      </c>
      <c r="K21">
        <v>1553490000</v>
      </c>
      <c r="L21" t="b">
        <v>0</v>
      </c>
      <c r="M21" t="b">
        <v>1</v>
      </c>
      <c r="N21" t="s">
        <v>33</v>
      </c>
      <c r="O21" s="4">
        <f t="shared" si="0"/>
        <v>2.0605980679832516</v>
      </c>
      <c r="P21" t="str">
        <f t="shared" si="1"/>
        <v>theater</v>
      </c>
      <c r="Q21" t="str">
        <f t="shared" si="2"/>
        <v>plays</v>
      </c>
    </row>
    <row r="22" spans="1:17" x14ac:dyDescent="0.3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t="s">
        <v>20</v>
      </c>
      <c r="G22">
        <v>1396</v>
      </c>
      <c r="H22" t="s">
        <v>21</v>
      </c>
      <c r="I22" t="s">
        <v>22</v>
      </c>
      <c r="J22">
        <v>1406523600</v>
      </c>
      <c r="K22">
        <v>1406523600</v>
      </c>
      <c r="L22" t="b">
        <v>0</v>
      </c>
      <c r="M22" t="b">
        <v>0</v>
      </c>
      <c r="N22" t="s">
        <v>53</v>
      </c>
      <c r="O22" s="4">
        <f t="shared" si="0"/>
        <v>0.89092580575383951</v>
      </c>
      <c r="P22" t="str">
        <f t="shared" si="1"/>
        <v>film &amp; video</v>
      </c>
      <c r="Q22" t="str">
        <f t="shared" si="2"/>
        <v>drama</v>
      </c>
    </row>
    <row r="23" spans="1:17" x14ac:dyDescent="0.3">
      <c r="A23">
        <v>21</v>
      </c>
      <c r="B23" t="s">
        <v>79</v>
      </c>
      <c r="C23" s="3" t="s">
        <v>80</v>
      </c>
      <c r="D23">
        <v>94000</v>
      </c>
      <c r="E23">
        <v>38533</v>
      </c>
      <c r="F23" t="s">
        <v>14</v>
      </c>
      <c r="G23">
        <v>558</v>
      </c>
      <c r="H23" t="s">
        <v>21</v>
      </c>
      <c r="I23" t="s">
        <v>22</v>
      </c>
      <c r="J23">
        <v>1313384400</v>
      </c>
      <c r="K23">
        <v>1316322000</v>
      </c>
      <c r="L23" t="b">
        <v>0</v>
      </c>
      <c r="M23" t="b">
        <v>0</v>
      </c>
      <c r="N23" t="s">
        <v>33</v>
      </c>
      <c r="O23" s="4">
        <f t="shared" si="0"/>
        <v>2.4394674694417771</v>
      </c>
      <c r="P23" t="str">
        <f t="shared" si="1"/>
        <v>theater</v>
      </c>
      <c r="Q23" t="str">
        <f t="shared" si="2"/>
        <v>plays</v>
      </c>
    </row>
    <row r="24" spans="1:17" x14ac:dyDescent="0.3">
      <c r="A24">
        <v>22</v>
      </c>
      <c r="B24" t="s">
        <v>81</v>
      </c>
      <c r="C24" s="3" t="s">
        <v>82</v>
      </c>
      <c r="D24">
        <v>59100</v>
      </c>
      <c r="E24">
        <v>75690</v>
      </c>
      <c r="F24" t="s">
        <v>20</v>
      </c>
      <c r="G24">
        <v>890</v>
      </c>
      <c r="H24" t="s">
        <v>21</v>
      </c>
      <c r="I24" t="s">
        <v>22</v>
      </c>
      <c r="J24">
        <v>1522731600</v>
      </c>
      <c r="K24">
        <v>1524027600</v>
      </c>
      <c r="L24" t="b">
        <v>0</v>
      </c>
      <c r="M24" t="b">
        <v>0</v>
      </c>
      <c r="N24" t="s">
        <v>33</v>
      </c>
      <c r="O24" s="4">
        <f t="shared" si="0"/>
        <v>0.78081648830757033</v>
      </c>
      <c r="P24" t="str">
        <f t="shared" si="1"/>
        <v>theater</v>
      </c>
      <c r="Q24" t="str">
        <f t="shared" si="2"/>
        <v>plays</v>
      </c>
    </row>
    <row r="25" spans="1:17" x14ac:dyDescent="0.3">
      <c r="A25">
        <v>23</v>
      </c>
      <c r="B25" t="s">
        <v>83</v>
      </c>
      <c r="C25" s="3" t="s">
        <v>84</v>
      </c>
      <c r="D25">
        <v>4500</v>
      </c>
      <c r="E25">
        <v>14942</v>
      </c>
      <c r="F25" t="s">
        <v>20</v>
      </c>
      <c r="G25">
        <v>142</v>
      </c>
      <c r="H25" t="s">
        <v>40</v>
      </c>
      <c r="I25" t="s">
        <v>41</v>
      </c>
      <c r="J25">
        <v>1550124000</v>
      </c>
      <c r="K25">
        <v>1554699600</v>
      </c>
      <c r="L25" t="b">
        <v>0</v>
      </c>
      <c r="M25" t="b">
        <v>0</v>
      </c>
      <c r="N25" t="s">
        <v>42</v>
      </c>
      <c r="O25" s="4">
        <f t="shared" si="0"/>
        <v>0.30116450274394324</v>
      </c>
      <c r="P25" t="str">
        <f t="shared" si="1"/>
        <v>film &amp; video</v>
      </c>
      <c r="Q25" t="str">
        <f t="shared" si="2"/>
        <v>documentary</v>
      </c>
    </row>
    <row r="26" spans="1:17" x14ac:dyDescent="0.3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t="s">
        <v>20</v>
      </c>
      <c r="G26">
        <v>2673</v>
      </c>
      <c r="H26" t="s">
        <v>21</v>
      </c>
      <c r="I26" t="s">
        <v>22</v>
      </c>
      <c r="J26">
        <v>1403326800</v>
      </c>
      <c r="K26">
        <v>1403499600</v>
      </c>
      <c r="L26" t="b">
        <v>0</v>
      </c>
      <c r="M26" t="b">
        <v>0</v>
      </c>
      <c r="N26" t="s">
        <v>65</v>
      </c>
      <c r="O26" s="4">
        <f t="shared" si="0"/>
        <v>0.88627142541987591</v>
      </c>
      <c r="P26" t="str">
        <f t="shared" si="1"/>
        <v>technology</v>
      </c>
      <c r="Q26" t="str">
        <f t="shared" si="2"/>
        <v>wearables</v>
      </c>
    </row>
    <row r="27" spans="1:17" x14ac:dyDescent="0.3">
      <c r="A27">
        <v>25</v>
      </c>
      <c r="B27" t="s">
        <v>87</v>
      </c>
      <c r="C27" s="3" t="s">
        <v>88</v>
      </c>
      <c r="D27">
        <v>5500</v>
      </c>
      <c r="E27">
        <v>11904</v>
      </c>
      <c r="F27" t="s">
        <v>20</v>
      </c>
      <c r="G27">
        <v>163</v>
      </c>
      <c r="H27" t="s">
        <v>21</v>
      </c>
      <c r="I27" t="s">
        <v>22</v>
      </c>
      <c r="J27">
        <v>1305694800</v>
      </c>
      <c r="K27">
        <v>1307422800</v>
      </c>
      <c r="L27" t="b">
        <v>0</v>
      </c>
      <c r="M27" t="b">
        <v>1</v>
      </c>
      <c r="N27" t="s">
        <v>89</v>
      </c>
      <c r="O27" s="4">
        <f t="shared" si="0"/>
        <v>0.46202956989247312</v>
      </c>
      <c r="P27" t="str">
        <f t="shared" si="1"/>
        <v>games</v>
      </c>
      <c r="Q27" t="str">
        <f t="shared" si="2"/>
        <v>video games</v>
      </c>
    </row>
    <row r="28" spans="1:17" x14ac:dyDescent="0.3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t="s">
        <v>74</v>
      </c>
      <c r="G28">
        <v>1480</v>
      </c>
      <c r="H28" t="s">
        <v>21</v>
      </c>
      <c r="I28" t="s">
        <v>22</v>
      </c>
      <c r="J28">
        <v>1533013200</v>
      </c>
      <c r="K28">
        <v>1535346000</v>
      </c>
      <c r="L28" t="b">
        <v>0</v>
      </c>
      <c r="M28" t="b">
        <v>0</v>
      </c>
      <c r="N28" t="s">
        <v>33</v>
      </c>
      <c r="O28" s="4">
        <f t="shared" si="0"/>
        <v>2.0747288377658548</v>
      </c>
      <c r="P28" t="str">
        <f t="shared" si="1"/>
        <v>theater</v>
      </c>
      <c r="Q28" t="str">
        <f t="shared" si="2"/>
        <v>plays</v>
      </c>
    </row>
    <row r="29" spans="1:17" x14ac:dyDescent="0.3">
      <c r="A29">
        <v>27</v>
      </c>
      <c r="B29" t="s">
        <v>92</v>
      </c>
      <c r="C29" s="3" t="s">
        <v>93</v>
      </c>
      <c r="D29">
        <v>2000</v>
      </c>
      <c r="E29">
        <v>1599</v>
      </c>
      <c r="F29" t="s">
        <v>14</v>
      </c>
      <c r="G29">
        <v>15</v>
      </c>
      <c r="H29" t="s">
        <v>21</v>
      </c>
      <c r="I29" t="s">
        <v>22</v>
      </c>
      <c r="J29">
        <v>1443848400</v>
      </c>
      <c r="K29">
        <v>1444539600</v>
      </c>
      <c r="L29" t="b">
        <v>0</v>
      </c>
      <c r="M29" t="b">
        <v>0</v>
      </c>
      <c r="N29" t="s">
        <v>23</v>
      </c>
      <c r="O29" s="4">
        <f t="shared" si="0"/>
        <v>1.2507817385866167</v>
      </c>
      <c r="P29" t="str">
        <f t="shared" si="1"/>
        <v>music</v>
      </c>
      <c r="Q29" t="str">
        <f t="shared" si="2"/>
        <v>rock</v>
      </c>
    </row>
    <row r="30" spans="1:17" x14ac:dyDescent="0.3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t="s">
        <v>20</v>
      </c>
      <c r="G30">
        <v>2220</v>
      </c>
      <c r="H30" t="s">
        <v>21</v>
      </c>
      <c r="I30" t="s">
        <v>22</v>
      </c>
      <c r="J30">
        <v>1265695200</v>
      </c>
      <c r="K30">
        <v>1267682400</v>
      </c>
      <c r="L30" t="b">
        <v>0</v>
      </c>
      <c r="M30" t="b">
        <v>1</v>
      </c>
      <c r="N30" t="s">
        <v>33</v>
      </c>
      <c r="O30" s="4">
        <f t="shared" si="0"/>
        <v>0.95033966650924551</v>
      </c>
      <c r="P30" t="str">
        <f t="shared" si="1"/>
        <v>theater</v>
      </c>
      <c r="Q30" t="str">
        <f t="shared" si="2"/>
        <v>plays</v>
      </c>
    </row>
    <row r="31" spans="1:17" x14ac:dyDescent="0.3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t="s">
        <v>20</v>
      </c>
      <c r="G31">
        <v>1606</v>
      </c>
      <c r="H31" t="s">
        <v>98</v>
      </c>
      <c r="I31" t="s">
        <v>99</v>
      </c>
      <c r="J31">
        <v>1532062800</v>
      </c>
      <c r="K31">
        <v>1535518800</v>
      </c>
      <c r="L31" t="b">
        <v>0</v>
      </c>
      <c r="M31" t="b">
        <v>0</v>
      </c>
      <c r="N31" t="s">
        <v>100</v>
      </c>
      <c r="O31" s="4">
        <f t="shared" si="0"/>
        <v>0.30404398370483227</v>
      </c>
      <c r="P31" t="str">
        <f t="shared" si="1"/>
        <v>film &amp; video</v>
      </c>
      <c r="Q31" t="str">
        <f t="shared" si="2"/>
        <v>shorts</v>
      </c>
    </row>
    <row r="32" spans="1:17" x14ac:dyDescent="0.3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t="s">
        <v>20</v>
      </c>
      <c r="G32">
        <v>129</v>
      </c>
      <c r="H32" t="s">
        <v>21</v>
      </c>
      <c r="I32" t="s">
        <v>22</v>
      </c>
      <c r="J32">
        <v>1558674000</v>
      </c>
      <c r="K32">
        <v>1559106000</v>
      </c>
      <c r="L32" t="b">
        <v>0</v>
      </c>
      <c r="M32" t="b">
        <v>0</v>
      </c>
      <c r="N32" t="s">
        <v>71</v>
      </c>
      <c r="O32" s="4">
        <f t="shared" si="0"/>
        <v>0.62262193012798339</v>
      </c>
      <c r="P32" t="str">
        <f t="shared" si="1"/>
        <v>film &amp; video</v>
      </c>
      <c r="Q32" t="str">
        <f t="shared" si="2"/>
        <v>animation</v>
      </c>
    </row>
    <row r="33" spans="1:17" x14ac:dyDescent="0.3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t="s">
        <v>20</v>
      </c>
      <c r="G33">
        <v>226</v>
      </c>
      <c r="H33" t="s">
        <v>40</v>
      </c>
      <c r="I33" t="s">
        <v>41</v>
      </c>
      <c r="J33">
        <v>1451973600</v>
      </c>
      <c r="K33">
        <v>1454392800</v>
      </c>
      <c r="L33" t="b">
        <v>0</v>
      </c>
      <c r="M33" t="b">
        <v>0</v>
      </c>
      <c r="N33" t="s">
        <v>89</v>
      </c>
      <c r="O33" s="4">
        <f t="shared" si="0"/>
        <v>0.32258064516129031</v>
      </c>
      <c r="P33" t="str">
        <f t="shared" si="1"/>
        <v>games</v>
      </c>
      <c r="Q33" t="str">
        <f t="shared" si="2"/>
        <v>video games</v>
      </c>
    </row>
    <row r="34" spans="1:17" x14ac:dyDescent="0.3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t="s">
        <v>14</v>
      </c>
      <c r="G34">
        <v>2307</v>
      </c>
      <c r="H34" t="s">
        <v>107</v>
      </c>
      <c r="I34" t="s">
        <v>108</v>
      </c>
      <c r="J34">
        <v>1515564000</v>
      </c>
      <c r="K34">
        <v>1517896800</v>
      </c>
      <c r="L34" t="b">
        <v>0</v>
      </c>
      <c r="M34" t="b">
        <v>0</v>
      </c>
      <c r="N34" t="s">
        <v>42</v>
      </c>
      <c r="O34" s="4">
        <f t="shared" si="0"/>
        <v>1.1519686117067385</v>
      </c>
      <c r="P34" t="str">
        <f t="shared" si="1"/>
        <v>film &amp; video</v>
      </c>
      <c r="Q34" t="str">
        <f t="shared" si="2"/>
        <v>documentary</v>
      </c>
    </row>
    <row r="35" spans="1:17" x14ac:dyDescent="0.3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t="s">
        <v>20</v>
      </c>
      <c r="G35">
        <v>5419</v>
      </c>
      <c r="H35" t="s">
        <v>21</v>
      </c>
      <c r="I35" t="s">
        <v>22</v>
      </c>
      <c r="J35">
        <v>1412485200</v>
      </c>
      <c r="K35">
        <v>1415685600</v>
      </c>
      <c r="L35" t="b">
        <v>0</v>
      </c>
      <c r="M35" t="b">
        <v>0</v>
      </c>
      <c r="N35" t="s">
        <v>33</v>
      </c>
      <c r="O35" s="4">
        <f t="shared" si="0"/>
        <v>0.26467579850895784</v>
      </c>
      <c r="P35" t="str">
        <f t="shared" si="1"/>
        <v>theater</v>
      </c>
      <c r="Q35" t="str">
        <f t="shared" si="2"/>
        <v>plays</v>
      </c>
    </row>
    <row r="36" spans="1:17" ht="31.2" x14ac:dyDescent="0.3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t="s">
        <v>20</v>
      </c>
      <c r="G36">
        <v>165</v>
      </c>
      <c r="H36" t="s">
        <v>21</v>
      </c>
      <c r="I36" t="s">
        <v>22</v>
      </c>
      <c r="J36">
        <v>1490245200</v>
      </c>
      <c r="K36">
        <v>1490677200</v>
      </c>
      <c r="L36" t="b">
        <v>0</v>
      </c>
      <c r="M36" t="b">
        <v>0</v>
      </c>
      <c r="N36" t="s">
        <v>42</v>
      </c>
      <c r="O36" s="4">
        <f t="shared" si="0"/>
        <v>0.66310160427807485</v>
      </c>
      <c r="P36" t="str">
        <f t="shared" si="1"/>
        <v>film &amp; video</v>
      </c>
      <c r="Q36" t="str">
        <f t="shared" si="2"/>
        <v>documentary</v>
      </c>
    </row>
    <row r="37" spans="1:17" x14ac:dyDescent="0.3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t="s">
        <v>20</v>
      </c>
      <c r="G37">
        <v>1965</v>
      </c>
      <c r="H37" t="s">
        <v>36</v>
      </c>
      <c r="I37" t="s">
        <v>37</v>
      </c>
      <c r="J37">
        <v>1547877600</v>
      </c>
      <c r="K37">
        <v>1551506400</v>
      </c>
      <c r="L37" t="b">
        <v>0</v>
      </c>
      <c r="M37" t="b">
        <v>1</v>
      </c>
      <c r="N37" t="s">
        <v>53</v>
      </c>
      <c r="O37" s="4">
        <f t="shared" si="0"/>
        <v>0.66533070381915727</v>
      </c>
      <c r="P37" t="str">
        <f t="shared" si="1"/>
        <v>film &amp; video</v>
      </c>
      <c r="Q37" t="str">
        <f t="shared" si="2"/>
        <v>drama</v>
      </c>
    </row>
    <row r="38" spans="1:17" x14ac:dyDescent="0.3">
      <c r="A38">
        <v>36</v>
      </c>
      <c r="B38" t="s">
        <v>115</v>
      </c>
      <c r="C38" s="3" t="s">
        <v>116</v>
      </c>
      <c r="D38">
        <v>700</v>
      </c>
      <c r="E38">
        <v>1101</v>
      </c>
      <c r="F38" t="s">
        <v>20</v>
      </c>
      <c r="G38">
        <v>16</v>
      </c>
      <c r="H38" t="s">
        <v>21</v>
      </c>
      <c r="I38" t="s">
        <v>22</v>
      </c>
      <c r="J38">
        <v>1298700000</v>
      </c>
      <c r="K38">
        <v>1300856400</v>
      </c>
      <c r="L38" t="b">
        <v>0</v>
      </c>
      <c r="M38" t="b">
        <v>0</v>
      </c>
      <c r="N38" t="s">
        <v>33</v>
      </c>
      <c r="O38" s="4">
        <f t="shared" si="0"/>
        <v>0.63578564940962756</v>
      </c>
      <c r="P38" t="str">
        <f t="shared" si="1"/>
        <v>theater</v>
      </c>
      <c r="Q38" t="str">
        <f t="shared" si="2"/>
        <v>plays</v>
      </c>
    </row>
    <row r="39" spans="1:17" ht="31.2" x14ac:dyDescent="0.3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t="s">
        <v>20</v>
      </c>
      <c r="G39">
        <v>107</v>
      </c>
      <c r="H39" t="s">
        <v>21</v>
      </c>
      <c r="I39" t="s">
        <v>22</v>
      </c>
      <c r="J39">
        <v>1570338000</v>
      </c>
      <c r="K39">
        <v>1573192800</v>
      </c>
      <c r="L39" t="b">
        <v>0</v>
      </c>
      <c r="M39" t="b">
        <v>1</v>
      </c>
      <c r="N39" t="s">
        <v>119</v>
      </c>
      <c r="O39" s="4">
        <f t="shared" si="0"/>
        <v>0.71434870799894168</v>
      </c>
      <c r="P39" t="str">
        <f t="shared" si="1"/>
        <v>publishing</v>
      </c>
      <c r="Q39" t="str">
        <f t="shared" si="2"/>
        <v>fiction</v>
      </c>
    </row>
    <row r="40" spans="1:17" x14ac:dyDescent="0.3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t="s">
        <v>20</v>
      </c>
      <c r="G40">
        <v>134</v>
      </c>
      <c r="H40" t="s">
        <v>21</v>
      </c>
      <c r="I40" t="s">
        <v>22</v>
      </c>
      <c r="J40">
        <v>1287378000</v>
      </c>
      <c r="K40">
        <v>1287810000</v>
      </c>
      <c r="L40" t="b">
        <v>0</v>
      </c>
      <c r="M40" t="b">
        <v>0</v>
      </c>
      <c r="N40" t="s">
        <v>122</v>
      </c>
      <c r="O40" s="4">
        <f t="shared" si="0"/>
        <v>0.30738720872583042</v>
      </c>
      <c r="P40" t="str">
        <f t="shared" si="1"/>
        <v>photography</v>
      </c>
      <c r="Q40" t="str">
        <f t="shared" si="2"/>
        <v>photography books</v>
      </c>
    </row>
    <row r="41" spans="1:17" x14ac:dyDescent="0.3">
      <c r="A41">
        <v>39</v>
      </c>
      <c r="B41" t="s">
        <v>123</v>
      </c>
      <c r="C41" s="3" t="s">
        <v>124</v>
      </c>
      <c r="D41">
        <v>9900</v>
      </c>
      <c r="E41">
        <v>5027</v>
      </c>
      <c r="F41" t="s">
        <v>14</v>
      </c>
      <c r="G41">
        <v>88</v>
      </c>
      <c r="H41" t="s">
        <v>36</v>
      </c>
      <c r="I41" t="s">
        <v>37</v>
      </c>
      <c r="J41">
        <v>1361772000</v>
      </c>
      <c r="K41">
        <v>1362978000</v>
      </c>
      <c r="L41" t="b">
        <v>0</v>
      </c>
      <c r="M41" t="b">
        <v>0</v>
      </c>
      <c r="N41" t="s">
        <v>33</v>
      </c>
      <c r="O41" s="4">
        <f t="shared" si="0"/>
        <v>1.9693654266958425</v>
      </c>
      <c r="P41" t="str">
        <f t="shared" si="1"/>
        <v>theater</v>
      </c>
      <c r="Q41" t="str">
        <f t="shared" si="2"/>
        <v>plays</v>
      </c>
    </row>
    <row r="42" spans="1:17" x14ac:dyDescent="0.3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t="s">
        <v>20</v>
      </c>
      <c r="G42">
        <v>198</v>
      </c>
      <c r="H42" t="s">
        <v>21</v>
      </c>
      <c r="I42" t="s">
        <v>22</v>
      </c>
      <c r="J42">
        <v>1275714000</v>
      </c>
      <c r="K42">
        <v>1277355600</v>
      </c>
      <c r="L42" t="b">
        <v>0</v>
      </c>
      <c r="M42" t="b">
        <v>1</v>
      </c>
      <c r="N42" t="s">
        <v>65</v>
      </c>
      <c r="O42" s="4">
        <f t="shared" si="0"/>
        <v>0.59147734910606264</v>
      </c>
      <c r="P42" t="str">
        <f t="shared" si="1"/>
        <v>technology</v>
      </c>
      <c r="Q42" t="str">
        <f t="shared" si="2"/>
        <v>wearables</v>
      </c>
    </row>
    <row r="43" spans="1:17" x14ac:dyDescent="0.3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t="s">
        <v>20</v>
      </c>
      <c r="G43">
        <v>111</v>
      </c>
      <c r="H43" t="s">
        <v>107</v>
      </c>
      <c r="I43" t="s">
        <v>108</v>
      </c>
      <c r="J43">
        <v>1346734800</v>
      </c>
      <c r="K43">
        <v>1348981200</v>
      </c>
      <c r="L43" t="b">
        <v>0</v>
      </c>
      <c r="M43" t="b">
        <v>1</v>
      </c>
      <c r="N43" t="s">
        <v>23</v>
      </c>
      <c r="O43" s="4">
        <f t="shared" si="0"/>
        <v>0.4696410600469641</v>
      </c>
      <c r="P43" t="str">
        <f t="shared" si="1"/>
        <v>music</v>
      </c>
      <c r="Q43" t="str">
        <f t="shared" si="2"/>
        <v>rock</v>
      </c>
    </row>
    <row r="44" spans="1:17" x14ac:dyDescent="0.3">
      <c r="A44">
        <v>42</v>
      </c>
      <c r="B44" t="s">
        <v>129</v>
      </c>
      <c r="C44" s="3" t="s">
        <v>130</v>
      </c>
      <c r="D44">
        <v>1800</v>
      </c>
      <c r="E44">
        <v>7991</v>
      </c>
      <c r="F44" t="s">
        <v>20</v>
      </c>
      <c r="G44">
        <v>222</v>
      </c>
      <c r="H44" t="s">
        <v>21</v>
      </c>
      <c r="I44" t="s">
        <v>22</v>
      </c>
      <c r="J44">
        <v>1309755600</v>
      </c>
      <c r="K44">
        <v>1310533200</v>
      </c>
      <c r="L44" t="b">
        <v>0</v>
      </c>
      <c r="M44" t="b">
        <v>0</v>
      </c>
      <c r="N44" t="s">
        <v>17</v>
      </c>
      <c r="O44" s="4">
        <f t="shared" si="0"/>
        <v>0.22525341008634714</v>
      </c>
      <c r="P44" t="str">
        <f t="shared" si="1"/>
        <v>food</v>
      </c>
      <c r="Q44" t="str">
        <f t="shared" si="2"/>
        <v>food trucks</v>
      </c>
    </row>
    <row r="45" spans="1:17" x14ac:dyDescent="0.3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t="s">
        <v>20</v>
      </c>
      <c r="G45">
        <v>6212</v>
      </c>
      <c r="H45" t="s">
        <v>21</v>
      </c>
      <c r="I45" t="s">
        <v>22</v>
      </c>
      <c r="J45">
        <v>1406178000</v>
      </c>
      <c r="K45">
        <v>1407560400</v>
      </c>
      <c r="L45" t="b">
        <v>0</v>
      </c>
      <c r="M45" t="b">
        <v>0</v>
      </c>
      <c r="N45" t="s">
        <v>133</v>
      </c>
      <c r="O45" s="4">
        <f t="shared" si="0"/>
        <v>0.53781071686233362</v>
      </c>
      <c r="P45" t="str">
        <f t="shared" si="1"/>
        <v>publishing</v>
      </c>
      <c r="Q45" t="str">
        <f t="shared" si="2"/>
        <v>radio &amp; podcasts</v>
      </c>
    </row>
    <row r="46" spans="1:17" x14ac:dyDescent="0.3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t="s">
        <v>20</v>
      </c>
      <c r="G46">
        <v>98</v>
      </c>
      <c r="H46" t="s">
        <v>36</v>
      </c>
      <c r="I46" t="s">
        <v>37</v>
      </c>
      <c r="J46">
        <v>1552798800</v>
      </c>
      <c r="K46">
        <v>1552885200</v>
      </c>
      <c r="L46" t="b">
        <v>0</v>
      </c>
      <c r="M46" t="b">
        <v>0</v>
      </c>
      <c r="N46" t="s">
        <v>119</v>
      </c>
      <c r="O46" s="4">
        <f t="shared" si="0"/>
        <v>0.15178825538373969</v>
      </c>
      <c r="P46" t="str">
        <f t="shared" si="1"/>
        <v>publishing</v>
      </c>
      <c r="Q46" t="str">
        <f t="shared" si="2"/>
        <v>fiction</v>
      </c>
    </row>
    <row r="47" spans="1:17" ht="31.2" x14ac:dyDescent="0.3">
      <c r="A47">
        <v>45</v>
      </c>
      <c r="B47" t="s">
        <v>136</v>
      </c>
      <c r="C47" s="3" t="s">
        <v>137</v>
      </c>
      <c r="D47">
        <v>9500</v>
      </c>
      <c r="E47">
        <v>4530</v>
      </c>
      <c r="F47" t="s">
        <v>14</v>
      </c>
      <c r="G47">
        <v>48</v>
      </c>
      <c r="H47" t="s">
        <v>21</v>
      </c>
      <c r="I47" t="s">
        <v>22</v>
      </c>
      <c r="J47">
        <v>1478062800</v>
      </c>
      <c r="K47">
        <v>1479362400</v>
      </c>
      <c r="L47" t="b">
        <v>0</v>
      </c>
      <c r="M47" t="b">
        <v>1</v>
      </c>
      <c r="N47" t="s">
        <v>33</v>
      </c>
      <c r="O47" s="4">
        <f t="shared" si="0"/>
        <v>2.0971302428256071</v>
      </c>
      <c r="P47" t="str">
        <f t="shared" si="1"/>
        <v>theater</v>
      </c>
      <c r="Q47" t="str">
        <f t="shared" si="2"/>
        <v>plays</v>
      </c>
    </row>
    <row r="48" spans="1:17" x14ac:dyDescent="0.3">
      <c r="A48">
        <v>46</v>
      </c>
      <c r="B48" t="s">
        <v>138</v>
      </c>
      <c r="C48" s="3" t="s">
        <v>139</v>
      </c>
      <c r="D48">
        <v>3700</v>
      </c>
      <c r="E48">
        <v>4247</v>
      </c>
      <c r="F48" t="s">
        <v>20</v>
      </c>
      <c r="G48">
        <v>92</v>
      </c>
      <c r="H48" t="s">
        <v>21</v>
      </c>
      <c r="I48" t="s">
        <v>22</v>
      </c>
      <c r="J48">
        <v>1278565200</v>
      </c>
      <c r="K48">
        <v>1280552400</v>
      </c>
      <c r="L48" t="b">
        <v>0</v>
      </c>
      <c r="M48" t="b">
        <v>0</v>
      </c>
      <c r="N48" t="s">
        <v>23</v>
      </c>
      <c r="O48" s="4">
        <f t="shared" si="0"/>
        <v>0.87120320226041914</v>
      </c>
      <c r="P48" t="str">
        <f t="shared" si="1"/>
        <v>music</v>
      </c>
      <c r="Q48" t="str">
        <f t="shared" si="2"/>
        <v>rock</v>
      </c>
    </row>
    <row r="49" spans="1:17" x14ac:dyDescent="0.3">
      <c r="A49">
        <v>47</v>
      </c>
      <c r="B49" t="s">
        <v>140</v>
      </c>
      <c r="C49" s="3" t="s">
        <v>141</v>
      </c>
      <c r="D49">
        <v>1500</v>
      </c>
      <c r="E49">
        <v>7129</v>
      </c>
      <c r="F49" t="s">
        <v>20</v>
      </c>
      <c r="G49">
        <v>149</v>
      </c>
      <c r="H49" t="s">
        <v>21</v>
      </c>
      <c r="I49" t="s">
        <v>22</v>
      </c>
      <c r="J49">
        <v>1396069200</v>
      </c>
      <c r="K49">
        <v>1398661200</v>
      </c>
      <c r="L49" t="b">
        <v>0</v>
      </c>
      <c r="M49" t="b">
        <v>0</v>
      </c>
      <c r="N49" t="s">
        <v>33</v>
      </c>
      <c r="O49" s="4">
        <f t="shared" si="0"/>
        <v>0.210408191892271</v>
      </c>
      <c r="P49" t="str">
        <f t="shared" si="1"/>
        <v>theater</v>
      </c>
      <c r="Q49" t="str">
        <f t="shared" si="2"/>
        <v>plays</v>
      </c>
    </row>
    <row r="50" spans="1:17" x14ac:dyDescent="0.3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t="s">
        <v>20</v>
      </c>
      <c r="G50">
        <v>2431</v>
      </c>
      <c r="H50" t="s">
        <v>21</v>
      </c>
      <c r="I50" t="s">
        <v>22</v>
      </c>
      <c r="J50">
        <v>1435208400</v>
      </c>
      <c r="K50">
        <v>1436245200</v>
      </c>
      <c r="L50" t="b">
        <v>0</v>
      </c>
      <c r="M50" t="b">
        <v>0</v>
      </c>
      <c r="N50" t="s">
        <v>33</v>
      </c>
      <c r="O50" s="4">
        <f t="shared" si="0"/>
        <v>0.25841597988545884</v>
      </c>
      <c r="P50" t="str">
        <f t="shared" si="1"/>
        <v>theater</v>
      </c>
      <c r="Q50" t="str">
        <f t="shared" si="2"/>
        <v>plays</v>
      </c>
    </row>
    <row r="51" spans="1:17" x14ac:dyDescent="0.3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t="s">
        <v>20</v>
      </c>
      <c r="G51">
        <v>303</v>
      </c>
      <c r="H51" t="s">
        <v>21</v>
      </c>
      <c r="I51" t="s">
        <v>22</v>
      </c>
      <c r="J51">
        <v>1571547600</v>
      </c>
      <c r="K51">
        <v>1575439200</v>
      </c>
      <c r="L51" t="b">
        <v>0</v>
      </c>
      <c r="M51" t="b">
        <v>0</v>
      </c>
      <c r="N51" t="s">
        <v>23</v>
      </c>
      <c r="O51" s="4">
        <f t="shared" si="0"/>
        <v>0.52735662491760049</v>
      </c>
      <c r="P51" t="str">
        <f t="shared" si="1"/>
        <v>music</v>
      </c>
      <c r="Q51" t="str">
        <f t="shared" si="2"/>
        <v>rock</v>
      </c>
    </row>
    <row r="52" spans="1:17" ht="31.2" x14ac:dyDescent="0.3">
      <c r="A52">
        <v>50</v>
      </c>
      <c r="B52" t="s">
        <v>146</v>
      </c>
      <c r="C52" s="3" t="s">
        <v>147</v>
      </c>
      <c r="D52">
        <v>100</v>
      </c>
      <c r="E52">
        <v>2</v>
      </c>
      <c r="F52" t="s">
        <v>14</v>
      </c>
      <c r="G52">
        <v>1</v>
      </c>
      <c r="H52" t="s">
        <v>107</v>
      </c>
      <c r="I52" t="s">
        <v>108</v>
      </c>
      <c r="J52">
        <v>1375333200</v>
      </c>
      <c r="K52">
        <v>1377752400</v>
      </c>
      <c r="L52" t="b">
        <v>0</v>
      </c>
      <c r="M52" t="b">
        <v>0</v>
      </c>
      <c r="N52" t="s">
        <v>148</v>
      </c>
      <c r="O52" s="4">
        <f t="shared" si="0"/>
        <v>50</v>
      </c>
      <c r="P52" t="str">
        <f t="shared" si="1"/>
        <v>music</v>
      </c>
      <c r="Q52" t="str">
        <f t="shared" si="2"/>
        <v>metal</v>
      </c>
    </row>
    <row r="53" spans="1:17" x14ac:dyDescent="0.3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t="s">
        <v>14</v>
      </c>
      <c r="G53">
        <v>1467</v>
      </c>
      <c r="H53" t="s">
        <v>40</v>
      </c>
      <c r="I53" t="s">
        <v>41</v>
      </c>
      <c r="J53">
        <v>1332824400</v>
      </c>
      <c r="K53">
        <v>1334206800</v>
      </c>
      <c r="L53" t="b">
        <v>0</v>
      </c>
      <c r="M53" t="b">
        <v>1</v>
      </c>
      <c r="N53" t="s">
        <v>65</v>
      </c>
      <c r="O53" s="4">
        <f t="shared" si="0"/>
        <v>1.0885206171726003</v>
      </c>
      <c r="P53" t="str">
        <f t="shared" si="1"/>
        <v>technology</v>
      </c>
      <c r="Q53" t="str">
        <f t="shared" si="2"/>
        <v>wearables</v>
      </c>
    </row>
    <row r="54" spans="1:17" x14ac:dyDescent="0.3">
      <c r="A54">
        <v>52</v>
      </c>
      <c r="B54" t="s">
        <v>151</v>
      </c>
      <c r="C54" s="3" t="s">
        <v>152</v>
      </c>
      <c r="D54">
        <v>7200</v>
      </c>
      <c r="E54">
        <v>2459</v>
      </c>
      <c r="F54" t="s">
        <v>14</v>
      </c>
      <c r="G54">
        <v>75</v>
      </c>
      <c r="H54" t="s">
        <v>21</v>
      </c>
      <c r="I54" t="s">
        <v>22</v>
      </c>
      <c r="J54">
        <v>1284526800</v>
      </c>
      <c r="K54">
        <v>1284872400</v>
      </c>
      <c r="L54" t="b">
        <v>0</v>
      </c>
      <c r="M54" t="b">
        <v>0</v>
      </c>
      <c r="N54" t="s">
        <v>33</v>
      </c>
      <c r="O54" s="4">
        <f t="shared" si="0"/>
        <v>2.928019520130134</v>
      </c>
      <c r="P54" t="str">
        <f t="shared" si="1"/>
        <v>theater</v>
      </c>
      <c r="Q54" t="str">
        <f t="shared" si="2"/>
        <v>plays</v>
      </c>
    </row>
    <row r="55" spans="1:17" x14ac:dyDescent="0.3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t="s">
        <v>20</v>
      </c>
      <c r="G55">
        <v>209</v>
      </c>
      <c r="H55" t="s">
        <v>21</v>
      </c>
      <c r="I55" t="s">
        <v>22</v>
      </c>
      <c r="J55">
        <v>1400562000</v>
      </c>
      <c r="K55">
        <v>1403931600</v>
      </c>
      <c r="L55" t="b">
        <v>0</v>
      </c>
      <c r="M55" t="b">
        <v>0</v>
      </c>
      <c r="N55" t="s">
        <v>53</v>
      </c>
      <c r="O55" s="4">
        <f t="shared" si="0"/>
        <v>0.71220459695694405</v>
      </c>
      <c r="P55" t="str">
        <f t="shared" si="1"/>
        <v>film &amp; video</v>
      </c>
      <c r="Q55" t="str">
        <f t="shared" si="2"/>
        <v>drama</v>
      </c>
    </row>
    <row r="56" spans="1:17" ht="31.2" x14ac:dyDescent="0.3">
      <c r="A56">
        <v>54</v>
      </c>
      <c r="B56" t="s">
        <v>155</v>
      </c>
      <c r="C56" s="3" t="s">
        <v>156</v>
      </c>
      <c r="D56">
        <v>6000</v>
      </c>
      <c r="E56">
        <v>5392</v>
      </c>
      <c r="F56" t="s">
        <v>14</v>
      </c>
      <c r="G56">
        <v>120</v>
      </c>
      <c r="H56" t="s">
        <v>21</v>
      </c>
      <c r="I56" t="s">
        <v>22</v>
      </c>
      <c r="J56">
        <v>1520748000</v>
      </c>
      <c r="K56">
        <v>1521262800</v>
      </c>
      <c r="L56" t="b">
        <v>0</v>
      </c>
      <c r="M56" t="b">
        <v>0</v>
      </c>
      <c r="N56" t="s">
        <v>65</v>
      </c>
      <c r="O56" s="4">
        <f t="shared" si="0"/>
        <v>1.1127596439169138</v>
      </c>
      <c r="P56" t="str">
        <f t="shared" si="1"/>
        <v>technology</v>
      </c>
      <c r="Q56" t="str">
        <f t="shared" si="2"/>
        <v>wearables</v>
      </c>
    </row>
    <row r="57" spans="1:17" ht="31.2" x14ac:dyDescent="0.3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t="s">
        <v>20</v>
      </c>
      <c r="G57">
        <v>131</v>
      </c>
      <c r="H57" t="s">
        <v>21</v>
      </c>
      <c r="I57" t="s">
        <v>22</v>
      </c>
      <c r="J57">
        <v>1532926800</v>
      </c>
      <c r="K57">
        <v>1533358800</v>
      </c>
      <c r="L57" t="b">
        <v>0</v>
      </c>
      <c r="M57" t="b">
        <v>0</v>
      </c>
      <c r="N57" t="s">
        <v>159</v>
      </c>
      <c r="O57" s="4">
        <f t="shared" si="0"/>
        <v>0.56189341052273112</v>
      </c>
      <c r="P57" t="str">
        <f t="shared" si="1"/>
        <v>music</v>
      </c>
      <c r="Q57" t="str">
        <f t="shared" si="2"/>
        <v>jazz</v>
      </c>
    </row>
    <row r="58" spans="1:17" ht="31.2" x14ac:dyDescent="0.3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t="s">
        <v>20</v>
      </c>
      <c r="G58">
        <v>164</v>
      </c>
      <c r="H58" t="s">
        <v>21</v>
      </c>
      <c r="I58" t="s">
        <v>22</v>
      </c>
      <c r="J58">
        <v>1420869600</v>
      </c>
      <c r="K58">
        <v>1421474400</v>
      </c>
      <c r="L58" t="b">
        <v>0</v>
      </c>
      <c r="M58" t="b">
        <v>0</v>
      </c>
      <c r="N58" t="s">
        <v>65</v>
      </c>
      <c r="O58" s="4">
        <f t="shared" si="0"/>
        <v>0.69607587227007739</v>
      </c>
      <c r="P58" t="str">
        <f t="shared" si="1"/>
        <v>technology</v>
      </c>
      <c r="Q58" t="str">
        <f t="shared" si="2"/>
        <v>wearables</v>
      </c>
    </row>
    <row r="59" spans="1:17" x14ac:dyDescent="0.3">
      <c r="A59">
        <v>57</v>
      </c>
      <c r="B59" t="s">
        <v>162</v>
      </c>
      <c r="C59" s="3" t="s">
        <v>163</v>
      </c>
      <c r="D59">
        <v>2900</v>
      </c>
      <c r="E59">
        <v>6243</v>
      </c>
      <c r="F59" t="s">
        <v>20</v>
      </c>
      <c r="G59">
        <v>201</v>
      </c>
      <c r="H59" t="s">
        <v>21</v>
      </c>
      <c r="I59" t="s">
        <v>22</v>
      </c>
      <c r="J59">
        <v>1504242000</v>
      </c>
      <c r="K59">
        <v>1505278800</v>
      </c>
      <c r="L59" t="b">
        <v>0</v>
      </c>
      <c r="M59" t="b">
        <v>0</v>
      </c>
      <c r="N59" t="s">
        <v>89</v>
      </c>
      <c r="O59" s="4">
        <f t="shared" si="0"/>
        <v>0.46452026269421753</v>
      </c>
      <c r="P59" t="str">
        <f t="shared" si="1"/>
        <v>games</v>
      </c>
      <c r="Q59" t="str">
        <f t="shared" si="2"/>
        <v>video games</v>
      </c>
    </row>
    <row r="60" spans="1:17" x14ac:dyDescent="0.3">
      <c r="A60">
        <v>58</v>
      </c>
      <c r="B60" t="s">
        <v>164</v>
      </c>
      <c r="C60" s="3" t="s">
        <v>165</v>
      </c>
      <c r="D60">
        <v>2700</v>
      </c>
      <c r="E60">
        <v>6132</v>
      </c>
      <c r="F60" t="s">
        <v>20</v>
      </c>
      <c r="G60">
        <v>211</v>
      </c>
      <c r="H60" t="s">
        <v>21</v>
      </c>
      <c r="I60" t="s">
        <v>22</v>
      </c>
      <c r="J60">
        <v>1442811600</v>
      </c>
      <c r="K60">
        <v>1443934800</v>
      </c>
      <c r="L60" t="b">
        <v>0</v>
      </c>
      <c r="M60" t="b">
        <v>0</v>
      </c>
      <c r="N60" t="s">
        <v>33</v>
      </c>
      <c r="O60" s="4">
        <f t="shared" si="0"/>
        <v>0.44031311154598823</v>
      </c>
      <c r="P60" t="str">
        <f t="shared" si="1"/>
        <v>theater</v>
      </c>
      <c r="Q60" t="str">
        <f t="shared" si="2"/>
        <v>plays</v>
      </c>
    </row>
    <row r="61" spans="1:17" x14ac:dyDescent="0.3">
      <c r="A61">
        <v>59</v>
      </c>
      <c r="B61" t="s">
        <v>166</v>
      </c>
      <c r="C61" s="3" t="s">
        <v>167</v>
      </c>
      <c r="D61">
        <v>1400</v>
      </c>
      <c r="E61">
        <v>3851</v>
      </c>
      <c r="F61" t="s">
        <v>20</v>
      </c>
      <c r="G61">
        <v>128</v>
      </c>
      <c r="H61" t="s">
        <v>21</v>
      </c>
      <c r="I61" t="s">
        <v>22</v>
      </c>
      <c r="J61">
        <v>1497243600</v>
      </c>
      <c r="K61">
        <v>1498539600</v>
      </c>
      <c r="L61" t="b">
        <v>0</v>
      </c>
      <c r="M61" t="b">
        <v>1</v>
      </c>
      <c r="N61" t="s">
        <v>33</v>
      </c>
      <c r="O61" s="4">
        <f t="shared" si="0"/>
        <v>0.36354193715917943</v>
      </c>
      <c r="P61" t="str">
        <f t="shared" si="1"/>
        <v>theater</v>
      </c>
      <c r="Q61" t="str">
        <f t="shared" si="2"/>
        <v>plays</v>
      </c>
    </row>
    <row r="62" spans="1:17" x14ac:dyDescent="0.3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t="s">
        <v>20</v>
      </c>
      <c r="G62">
        <v>1600</v>
      </c>
      <c r="H62" t="s">
        <v>15</v>
      </c>
      <c r="I62" t="s">
        <v>16</v>
      </c>
      <c r="J62">
        <v>1342501200</v>
      </c>
      <c r="K62">
        <v>1342760400</v>
      </c>
      <c r="L62" t="b">
        <v>0</v>
      </c>
      <c r="M62" t="b">
        <v>0</v>
      </c>
      <c r="N62" t="s">
        <v>33</v>
      </c>
      <c r="O62" s="4">
        <f t="shared" si="0"/>
        <v>0.69266233813981193</v>
      </c>
      <c r="P62" t="str">
        <f t="shared" si="1"/>
        <v>theater</v>
      </c>
      <c r="Q62" t="str">
        <f t="shared" si="2"/>
        <v>plays</v>
      </c>
    </row>
    <row r="63" spans="1:17" ht="31.2" x14ac:dyDescent="0.3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t="s">
        <v>14</v>
      </c>
      <c r="G63">
        <v>2253</v>
      </c>
      <c r="H63" t="s">
        <v>15</v>
      </c>
      <c r="I63" t="s">
        <v>16</v>
      </c>
      <c r="J63">
        <v>1298268000</v>
      </c>
      <c r="K63">
        <v>1301720400</v>
      </c>
      <c r="L63" t="b">
        <v>0</v>
      </c>
      <c r="M63" t="b">
        <v>0</v>
      </c>
      <c r="N63" t="s">
        <v>33</v>
      </c>
      <c r="O63" s="4">
        <f t="shared" si="0"/>
        <v>1.078213802435724</v>
      </c>
      <c r="P63" t="str">
        <f t="shared" si="1"/>
        <v>theater</v>
      </c>
      <c r="Q63" t="str">
        <f t="shared" si="2"/>
        <v>plays</v>
      </c>
    </row>
    <row r="64" spans="1:17" ht="31.2" x14ac:dyDescent="0.3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t="s">
        <v>20</v>
      </c>
      <c r="G64">
        <v>249</v>
      </c>
      <c r="H64" t="s">
        <v>21</v>
      </c>
      <c r="I64" t="s">
        <v>22</v>
      </c>
      <c r="J64">
        <v>1433480400</v>
      </c>
      <c r="K64">
        <v>1433566800</v>
      </c>
      <c r="L64" t="b">
        <v>0</v>
      </c>
      <c r="M64" t="b">
        <v>0</v>
      </c>
      <c r="N64" t="s">
        <v>28</v>
      </c>
      <c r="O64" s="4">
        <f t="shared" si="0"/>
        <v>0.13838915029061721</v>
      </c>
      <c r="P64" t="str">
        <f t="shared" si="1"/>
        <v>technology</v>
      </c>
      <c r="Q64" t="str">
        <f t="shared" si="2"/>
        <v>web</v>
      </c>
    </row>
    <row r="65" spans="1:17" x14ac:dyDescent="0.3">
      <c r="A65">
        <v>63</v>
      </c>
      <c r="B65" t="s">
        <v>174</v>
      </c>
      <c r="C65" s="3" t="s">
        <v>175</v>
      </c>
      <c r="D65">
        <v>4700</v>
      </c>
      <c r="E65">
        <v>557</v>
      </c>
      <c r="F65" t="s">
        <v>14</v>
      </c>
      <c r="G65">
        <v>5</v>
      </c>
      <c r="H65" t="s">
        <v>21</v>
      </c>
      <c r="I65" t="s">
        <v>22</v>
      </c>
      <c r="J65">
        <v>1493355600</v>
      </c>
      <c r="K65">
        <v>1493874000</v>
      </c>
      <c r="L65" t="b">
        <v>0</v>
      </c>
      <c r="M65" t="b">
        <v>0</v>
      </c>
      <c r="N65" t="s">
        <v>33</v>
      </c>
      <c r="O65" s="4">
        <f t="shared" si="0"/>
        <v>8.4380610412926398</v>
      </c>
      <c r="P65" t="str">
        <f t="shared" si="1"/>
        <v>theater</v>
      </c>
      <c r="Q65" t="str">
        <f t="shared" si="2"/>
        <v>plays</v>
      </c>
    </row>
    <row r="66" spans="1:17" x14ac:dyDescent="0.3">
      <c r="A66">
        <v>64</v>
      </c>
      <c r="B66" t="s">
        <v>176</v>
      </c>
      <c r="C66" s="3" t="s">
        <v>177</v>
      </c>
      <c r="D66">
        <v>2800</v>
      </c>
      <c r="E66">
        <v>2734</v>
      </c>
      <c r="F66" t="s">
        <v>14</v>
      </c>
      <c r="G66">
        <v>38</v>
      </c>
      <c r="H66" t="s">
        <v>21</v>
      </c>
      <c r="I66" t="s">
        <v>22</v>
      </c>
      <c r="J66">
        <v>1530507600</v>
      </c>
      <c r="K66">
        <v>1531803600</v>
      </c>
      <c r="L66" t="b">
        <v>0</v>
      </c>
      <c r="M66" t="b">
        <v>1</v>
      </c>
      <c r="N66" t="s">
        <v>28</v>
      </c>
      <c r="O66" s="4">
        <f t="shared" si="0"/>
        <v>1.0241404535479151</v>
      </c>
      <c r="P66" t="str">
        <f t="shared" si="1"/>
        <v>technology</v>
      </c>
      <c r="Q66" t="str">
        <f t="shared" si="2"/>
        <v>web</v>
      </c>
    </row>
    <row r="67" spans="1:17" x14ac:dyDescent="0.3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t="s">
        <v>20</v>
      </c>
      <c r="G67">
        <v>236</v>
      </c>
      <c r="H67" t="s">
        <v>21</v>
      </c>
      <c r="I67" t="s">
        <v>22</v>
      </c>
      <c r="J67">
        <v>1296108000</v>
      </c>
      <c r="K67">
        <v>1296712800</v>
      </c>
      <c r="L67" t="b">
        <v>0</v>
      </c>
      <c r="M67" t="b">
        <v>0</v>
      </c>
      <c r="N67" t="s">
        <v>33</v>
      </c>
      <c r="O67" s="4">
        <f t="shared" ref="O67:O130" si="3">D67/E67</f>
        <v>0.42346407497396737</v>
      </c>
      <c r="P67" t="str">
        <f t="shared" ref="P67:P130" si="4">LEFT(N67,SEARCH("/",N67) -1)</f>
        <v>theater</v>
      </c>
      <c r="Q67" t="str">
        <f t="shared" ref="Q67:Q130" si="5">RIGHT(N67,LEN(N67)-SEARCH("/",N67))</f>
        <v>plays</v>
      </c>
    </row>
    <row r="68" spans="1:17" x14ac:dyDescent="0.3">
      <c r="A68">
        <v>66</v>
      </c>
      <c r="B68" t="s">
        <v>180</v>
      </c>
      <c r="C68" s="3" t="s">
        <v>181</v>
      </c>
      <c r="D68">
        <v>2900</v>
      </c>
      <c r="E68">
        <v>1307</v>
      </c>
      <c r="F68" t="s">
        <v>14</v>
      </c>
      <c r="G68">
        <v>12</v>
      </c>
      <c r="H68" t="s">
        <v>21</v>
      </c>
      <c r="I68" t="s">
        <v>22</v>
      </c>
      <c r="J68">
        <v>1428469200</v>
      </c>
      <c r="K68">
        <v>1428901200</v>
      </c>
      <c r="L68" t="b">
        <v>0</v>
      </c>
      <c r="M68" t="b">
        <v>1</v>
      </c>
      <c r="N68" t="s">
        <v>33</v>
      </c>
      <c r="O68" s="4">
        <f t="shared" si="3"/>
        <v>2.2188217291507271</v>
      </c>
      <c r="P68" t="str">
        <f t="shared" si="4"/>
        <v>theater</v>
      </c>
      <c r="Q68" t="str">
        <f t="shared" si="5"/>
        <v>plays</v>
      </c>
    </row>
    <row r="69" spans="1:17" ht="31.2" x14ac:dyDescent="0.3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t="s">
        <v>20</v>
      </c>
      <c r="G69">
        <v>4065</v>
      </c>
      <c r="H69" t="s">
        <v>40</v>
      </c>
      <c r="I69" t="s">
        <v>41</v>
      </c>
      <c r="J69">
        <v>1264399200</v>
      </c>
      <c r="K69">
        <v>1264831200</v>
      </c>
      <c r="L69" t="b">
        <v>0</v>
      </c>
      <c r="M69" t="b">
        <v>1</v>
      </c>
      <c r="N69" t="s">
        <v>65</v>
      </c>
      <c r="O69" s="4">
        <f t="shared" si="3"/>
        <v>0.61581786720048859</v>
      </c>
      <c r="P69" t="str">
        <f t="shared" si="4"/>
        <v>technology</v>
      </c>
      <c r="Q69" t="str">
        <f t="shared" si="5"/>
        <v>wearables</v>
      </c>
    </row>
    <row r="70" spans="1:17" x14ac:dyDescent="0.3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t="s">
        <v>20</v>
      </c>
      <c r="G70">
        <v>246</v>
      </c>
      <c r="H70" t="s">
        <v>107</v>
      </c>
      <c r="I70" t="s">
        <v>108</v>
      </c>
      <c r="J70">
        <v>1501131600</v>
      </c>
      <c r="K70">
        <v>1505192400</v>
      </c>
      <c r="L70" t="b">
        <v>0</v>
      </c>
      <c r="M70" t="b">
        <v>1</v>
      </c>
      <c r="N70" t="s">
        <v>33</v>
      </c>
      <c r="O70" s="4">
        <f t="shared" si="3"/>
        <v>0.39288668320926384</v>
      </c>
      <c r="P70" t="str">
        <f t="shared" si="4"/>
        <v>theater</v>
      </c>
      <c r="Q70" t="str">
        <f t="shared" si="5"/>
        <v>plays</v>
      </c>
    </row>
    <row r="71" spans="1:17" ht="31.2" x14ac:dyDescent="0.3">
      <c r="A71">
        <v>69</v>
      </c>
      <c r="B71" t="s">
        <v>186</v>
      </c>
      <c r="C71" s="3" t="s">
        <v>187</v>
      </c>
      <c r="D71">
        <v>7900</v>
      </c>
      <c r="E71">
        <v>1901</v>
      </c>
      <c r="F71" t="s">
        <v>74</v>
      </c>
      <c r="G71">
        <v>17</v>
      </c>
      <c r="H71" t="s">
        <v>21</v>
      </c>
      <c r="I71" t="s">
        <v>22</v>
      </c>
      <c r="J71">
        <v>1292738400</v>
      </c>
      <c r="K71">
        <v>1295676000</v>
      </c>
      <c r="L71" t="b">
        <v>0</v>
      </c>
      <c r="M71" t="b">
        <v>0</v>
      </c>
      <c r="N71" t="s">
        <v>33</v>
      </c>
      <c r="O71" s="4">
        <f t="shared" si="3"/>
        <v>4.1557075223566544</v>
      </c>
      <c r="P71" t="str">
        <f t="shared" si="4"/>
        <v>theater</v>
      </c>
      <c r="Q71" t="str">
        <f t="shared" si="5"/>
        <v>plays</v>
      </c>
    </row>
    <row r="72" spans="1:17" x14ac:dyDescent="0.3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t="s">
        <v>20</v>
      </c>
      <c r="G72">
        <v>2475</v>
      </c>
      <c r="H72" t="s">
        <v>107</v>
      </c>
      <c r="I72" t="s">
        <v>108</v>
      </c>
      <c r="J72">
        <v>1288674000</v>
      </c>
      <c r="K72">
        <v>1292911200</v>
      </c>
      <c r="L72" t="b">
        <v>0</v>
      </c>
      <c r="M72" t="b">
        <v>1</v>
      </c>
      <c r="N72" t="s">
        <v>33</v>
      </c>
      <c r="O72" s="4">
        <f t="shared" si="3"/>
        <v>0.80813692870085674</v>
      </c>
      <c r="P72" t="str">
        <f t="shared" si="4"/>
        <v>theater</v>
      </c>
      <c r="Q72" t="str">
        <f t="shared" si="5"/>
        <v>plays</v>
      </c>
    </row>
    <row r="73" spans="1:17" ht="31.2" x14ac:dyDescent="0.3">
      <c r="A73">
        <v>71</v>
      </c>
      <c r="B73" t="s">
        <v>190</v>
      </c>
      <c r="C73" s="3" t="s">
        <v>191</v>
      </c>
      <c r="D73">
        <v>6000</v>
      </c>
      <c r="E73">
        <v>6484</v>
      </c>
      <c r="F73" t="s">
        <v>20</v>
      </c>
      <c r="G73">
        <v>76</v>
      </c>
      <c r="H73" t="s">
        <v>21</v>
      </c>
      <c r="I73" t="s">
        <v>22</v>
      </c>
      <c r="J73">
        <v>1575093600</v>
      </c>
      <c r="K73">
        <v>1575439200</v>
      </c>
      <c r="L73" t="b">
        <v>0</v>
      </c>
      <c r="M73" t="b">
        <v>0</v>
      </c>
      <c r="N73" t="s">
        <v>33</v>
      </c>
      <c r="O73" s="4">
        <f t="shared" si="3"/>
        <v>0.92535471930906843</v>
      </c>
      <c r="P73" t="str">
        <f t="shared" si="4"/>
        <v>theater</v>
      </c>
      <c r="Q73" t="str">
        <f t="shared" si="5"/>
        <v>plays</v>
      </c>
    </row>
    <row r="74" spans="1:17" x14ac:dyDescent="0.3">
      <c r="A74">
        <v>72</v>
      </c>
      <c r="B74" t="s">
        <v>192</v>
      </c>
      <c r="C74" s="3" t="s">
        <v>193</v>
      </c>
      <c r="D74">
        <v>600</v>
      </c>
      <c r="E74">
        <v>4022</v>
      </c>
      <c r="F74" t="s">
        <v>20</v>
      </c>
      <c r="G74">
        <v>54</v>
      </c>
      <c r="H74" t="s">
        <v>21</v>
      </c>
      <c r="I74" t="s">
        <v>22</v>
      </c>
      <c r="J74">
        <v>1435726800</v>
      </c>
      <c r="K74">
        <v>1438837200</v>
      </c>
      <c r="L74" t="b">
        <v>0</v>
      </c>
      <c r="M74" t="b">
        <v>0</v>
      </c>
      <c r="N74" t="s">
        <v>71</v>
      </c>
      <c r="O74" s="4">
        <f t="shared" si="3"/>
        <v>0.14917951268025859</v>
      </c>
      <c r="P74" t="str">
        <f t="shared" si="4"/>
        <v>film &amp; video</v>
      </c>
      <c r="Q74" t="str">
        <f t="shared" si="5"/>
        <v>animation</v>
      </c>
    </row>
    <row r="75" spans="1:17" x14ac:dyDescent="0.3">
      <c r="A75">
        <v>73</v>
      </c>
      <c r="B75" t="s">
        <v>194</v>
      </c>
      <c r="C75" s="3" t="s">
        <v>195</v>
      </c>
      <c r="D75">
        <v>1400</v>
      </c>
      <c r="E75">
        <v>9253</v>
      </c>
      <c r="F75" t="s">
        <v>20</v>
      </c>
      <c r="G75">
        <v>88</v>
      </c>
      <c r="H75" t="s">
        <v>21</v>
      </c>
      <c r="I75" t="s">
        <v>22</v>
      </c>
      <c r="J75">
        <v>1480226400</v>
      </c>
      <c r="K75">
        <v>1480485600</v>
      </c>
      <c r="L75" t="b">
        <v>0</v>
      </c>
      <c r="M75" t="b">
        <v>0</v>
      </c>
      <c r="N75" t="s">
        <v>159</v>
      </c>
      <c r="O75" s="4">
        <f t="shared" si="3"/>
        <v>0.15130228034151086</v>
      </c>
      <c r="P75" t="str">
        <f t="shared" si="4"/>
        <v>music</v>
      </c>
      <c r="Q75" t="str">
        <f t="shared" si="5"/>
        <v>jazz</v>
      </c>
    </row>
    <row r="76" spans="1:17" x14ac:dyDescent="0.3">
      <c r="A76">
        <v>74</v>
      </c>
      <c r="B76" t="s">
        <v>196</v>
      </c>
      <c r="C76" s="3" t="s">
        <v>197</v>
      </c>
      <c r="D76">
        <v>3900</v>
      </c>
      <c r="E76">
        <v>4776</v>
      </c>
      <c r="F76" t="s">
        <v>20</v>
      </c>
      <c r="G76">
        <v>85</v>
      </c>
      <c r="H76" t="s">
        <v>40</v>
      </c>
      <c r="I76" t="s">
        <v>41</v>
      </c>
      <c r="J76">
        <v>1459054800</v>
      </c>
      <c r="K76">
        <v>1459141200</v>
      </c>
      <c r="L76" t="b">
        <v>0</v>
      </c>
      <c r="M76" t="b">
        <v>0</v>
      </c>
      <c r="N76" t="s">
        <v>148</v>
      </c>
      <c r="O76" s="4">
        <f t="shared" si="3"/>
        <v>0.81658291457286436</v>
      </c>
      <c r="P76" t="str">
        <f t="shared" si="4"/>
        <v>music</v>
      </c>
      <c r="Q76" t="str">
        <f t="shared" si="5"/>
        <v>metal</v>
      </c>
    </row>
    <row r="77" spans="1:17" x14ac:dyDescent="0.3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t="s">
        <v>20</v>
      </c>
      <c r="G77">
        <v>170</v>
      </c>
      <c r="H77" t="s">
        <v>21</v>
      </c>
      <c r="I77" t="s">
        <v>22</v>
      </c>
      <c r="J77">
        <v>1531630800</v>
      </c>
      <c r="K77">
        <v>1532322000</v>
      </c>
      <c r="L77" t="b">
        <v>0</v>
      </c>
      <c r="M77" t="b">
        <v>0</v>
      </c>
      <c r="N77" t="s">
        <v>122</v>
      </c>
      <c r="O77" s="4">
        <f t="shared" si="3"/>
        <v>0.66411063946323434</v>
      </c>
      <c r="P77" t="str">
        <f t="shared" si="4"/>
        <v>photography</v>
      </c>
      <c r="Q77" t="str">
        <f t="shared" si="5"/>
        <v>photography books</v>
      </c>
    </row>
    <row r="78" spans="1:17" x14ac:dyDescent="0.3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t="s">
        <v>14</v>
      </c>
      <c r="G78">
        <v>1684</v>
      </c>
      <c r="H78" t="s">
        <v>21</v>
      </c>
      <c r="I78" t="s">
        <v>22</v>
      </c>
      <c r="J78">
        <v>1421992800</v>
      </c>
      <c r="K78">
        <v>1426222800</v>
      </c>
      <c r="L78" t="b">
        <v>1</v>
      </c>
      <c r="M78" t="b">
        <v>1</v>
      </c>
      <c r="N78" t="s">
        <v>33</v>
      </c>
      <c r="O78" s="4">
        <f t="shared" si="3"/>
        <v>1.2803016886647984</v>
      </c>
      <c r="P78" t="str">
        <f t="shared" si="4"/>
        <v>theater</v>
      </c>
      <c r="Q78" t="str">
        <f t="shared" si="5"/>
        <v>plays</v>
      </c>
    </row>
    <row r="79" spans="1:17" x14ac:dyDescent="0.3">
      <c r="A79">
        <v>77</v>
      </c>
      <c r="B79" t="s">
        <v>202</v>
      </c>
      <c r="C79" s="3" t="s">
        <v>203</v>
      </c>
      <c r="D79">
        <v>9500</v>
      </c>
      <c r="E79">
        <v>4460</v>
      </c>
      <c r="F79" t="s">
        <v>14</v>
      </c>
      <c r="G79">
        <v>56</v>
      </c>
      <c r="H79" t="s">
        <v>21</v>
      </c>
      <c r="I79" t="s">
        <v>22</v>
      </c>
      <c r="J79">
        <v>1285563600</v>
      </c>
      <c r="K79">
        <v>1286773200</v>
      </c>
      <c r="L79" t="b">
        <v>0</v>
      </c>
      <c r="M79" t="b">
        <v>1</v>
      </c>
      <c r="N79" t="s">
        <v>71</v>
      </c>
      <c r="O79" s="4">
        <f t="shared" si="3"/>
        <v>2.1300448430493275</v>
      </c>
      <c r="P79" t="str">
        <f t="shared" si="4"/>
        <v>film &amp; video</v>
      </c>
      <c r="Q79" t="str">
        <f t="shared" si="5"/>
        <v>animation</v>
      </c>
    </row>
    <row r="80" spans="1:17" ht="31.2" x14ac:dyDescent="0.3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t="s">
        <v>20</v>
      </c>
      <c r="G80">
        <v>330</v>
      </c>
      <c r="H80" t="s">
        <v>21</v>
      </c>
      <c r="I80" t="s">
        <v>22</v>
      </c>
      <c r="J80">
        <v>1523854800</v>
      </c>
      <c r="K80">
        <v>1523941200</v>
      </c>
      <c r="L80" t="b">
        <v>0</v>
      </c>
      <c r="M80" t="b">
        <v>0</v>
      </c>
      <c r="N80" t="s">
        <v>206</v>
      </c>
      <c r="O80" s="4">
        <f t="shared" si="3"/>
        <v>0.33244680851063829</v>
      </c>
      <c r="P80" t="str">
        <f t="shared" si="4"/>
        <v>publishing</v>
      </c>
      <c r="Q80" t="str">
        <f t="shared" si="5"/>
        <v>translations</v>
      </c>
    </row>
    <row r="81" spans="1:17" x14ac:dyDescent="0.3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t="s">
        <v>14</v>
      </c>
      <c r="G81">
        <v>838</v>
      </c>
      <c r="H81" t="s">
        <v>21</v>
      </c>
      <c r="I81" t="s">
        <v>22</v>
      </c>
      <c r="J81">
        <v>1529125200</v>
      </c>
      <c r="K81">
        <v>1529557200</v>
      </c>
      <c r="L81" t="b">
        <v>0</v>
      </c>
      <c r="M81" t="b">
        <v>0</v>
      </c>
      <c r="N81" t="s">
        <v>33</v>
      </c>
      <c r="O81" s="4">
        <f t="shared" si="3"/>
        <v>1.4368101819628121</v>
      </c>
      <c r="P81" t="str">
        <f t="shared" si="4"/>
        <v>theater</v>
      </c>
      <c r="Q81" t="str">
        <f t="shared" si="5"/>
        <v>plays</v>
      </c>
    </row>
    <row r="82" spans="1:17" x14ac:dyDescent="0.3">
      <c r="A82">
        <v>80</v>
      </c>
      <c r="B82" t="s">
        <v>209</v>
      </c>
      <c r="C82" s="3" t="s">
        <v>210</v>
      </c>
      <c r="D82">
        <v>1100</v>
      </c>
      <c r="E82">
        <v>7012</v>
      </c>
      <c r="F82" t="s">
        <v>20</v>
      </c>
      <c r="G82">
        <v>127</v>
      </c>
      <c r="H82" t="s">
        <v>21</v>
      </c>
      <c r="I82" t="s">
        <v>22</v>
      </c>
      <c r="J82">
        <v>1503982800</v>
      </c>
      <c r="K82">
        <v>1506574800</v>
      </c>
      <c r="L82" t="b">
        <v>0</v>
      </c>
      <c r="M82" t="b">
        <v>0</v>
      </c>
      <c r="N82" t="s">
        <v>89</v>
      </c>
      <c r="O82" s="4">
        <f t="shared" si="3"/>
        <v>0.15687393040501996</v>
      </c>
      <c r="P82" t="str">
        <f t="shared" si="4"/>
        <v>games</v>
      </c>
      <c r="Q82" t="str">
        <f t="shared" si="5"/>
        <v>video games</v>
      </c>
    </row>
    <row r="83" spans="1:17" x14ac:dyDescent="0.3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t="s">
        <v>20</v>
      </c>
      <c r="G83">
        <v>411</v>
      </c>
      <c r="H83" t="s">
        <v>21</v>
      </c>
      <c r="I83" t="s">
        <v>22</v>
      </c>
      <c r="J83">
        <v>1511416800</v>
      </c>
      <c r="K83">
        <v>1513576800</v>
      </c>
      <c r="L83" t="b">
        <v>0</v>
      </c>
      <c r="M83" t="b">
        <v>0</v>
      </c>
      <c r="N83" t="s">
        <v>23</v>
      </c>
      <c r="O83" s="4">
        <f t="shared" si="3"/>
        <v>0.44377525952928126</v>
      </c>
      <c r="P83" t="str">
        <f t="shared" si="4"/>
        <v>music</v>
      </c>
      <c r="Q83" t="str">
        <f t="shared" si="5"/>
        <v>rock</v>
      </c>
    </row>
    <row r="84" spans="1:17" x14ac:dyDescent="0.3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t="s">
        <v>20</v>
      </c>
      <c r="G84">
        <v>180</v>
      </c>
      <c r="H84" t="s">
        <v>40</v>
      </c>
      <c r="I84" t="s">
        <v>41</v>
      </c>
      <c r="J84">
        <v>1547704800</v>
      </c>
      <c r="K84">
        <v>1548309600</v>
      </c>
      <c r="L84" t="b">
        <v>0</v>
      </c>
      <c r="M84" t="b">
        <v>1</v>
      </c>
      <c r="N84" t="s">
        <v>89</v>
      </c>
      <c r="O84" s="4">
        <f t="shared" si="3"/>
        <v>6.678688305616777E-2</v>
      </c>
      <c r="P84" t="str">
        <f t="shared" si="4"/>
        <v>games</v>
      </c>
      <c r="Q84" t="str">
        <f t="shared" si="5"/>
        <v>video games</v>
      </c>
    </row>
    <row r="85" spans="1:17" x14ac:dyDescent="0.3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t="s">
        <v>14</v>
      </c>
      <c r="G85">
        <v>1000</v>
      </c>
      <c r="H85" t="s">
        <v>21</v>
      </c>
      <c r="I85" t="s">
        <v>22</v>
      </c>
      <c r="J85">
        <v>1469682000</v>
      </c>
      <c r="K85">
        <v>1471582800</v>
      </c>
      <c r="L85" t="b">
        <v>0</v>
      </c>
      <c r="M85" t="b">
        <v>0</v>
      </c>
      <c r="N85" t="s">
        <v>50</v>
      </c>
      <c r="O85" s="4">
        <f t="shared" si="3"/>
        <v>2.6602660266026601</v>
      </c>
      <c r="P85" t="str">
        <f t="shared" si="4"/>
        <v>music</v>
      </c>
      <c r="Q85" t="str">
        <f t="shared" si="5"/>
        <v>electric music</v>
      </c>
    </row>
    <row r="86" spans="1:17" ht="31.2" x14ac:dyDescent="0.3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t="s">
        <v>20</v>
      </c>
      <c r="G86">
        <v>374</v>
      </c>
      <c r="H86" t="s">
        <v>21</v>
      </c>
      <c r="I86" t="s">
        <v>22</v>
      </c>
      <c r="J86">
        <v>1343451600</v>
      </c>
      <c r="K86">
        <v>1344315600</v>
      </c>
      <c r="L86" t="b">
        <v>0</v>
      </c>
      <c r="M86" t="b">
        <v>0</v>
      </c>
      <c r="N86" t="s">
        <v>65</v>
      </c>
      <c r="O86" s="4">
        <f t="shared" si="3"/>
        <v>0.75546145703012224</v>
      </c>
      <c r="P86" t="str">
        <f t="shared" si="4"/>
        <v>technology</v>
      </c>
      <c r="Q86" t="str">
        <f t="shared" si="5"/>
        <v>wearables</v>
      </c>
    </row>
    <row r="87" spans="1:17" x14ac:dyDescent="0.3">
      <c r="A87">
        <v>85</v>
      </c>
      <c r="B87" t="s">
        <v>219</v>
      </c>
      <c r="C87" s="3" t="s">
        <v>220</v>
      </c>
      <c r="D87">
        <v>4900</v>
      </c>
      <c r="E87">
        <v>6430</v>
      </c>
      <c r="F87" t="s">
        <v>20</v>
      </c>
      <c r="G87">
        <v>71</v>
      </c>
      <c r="H87" t="s">
        <v>26</v>
      </c>
      <c r="I87" t="s">
        <v>27</v>
      </c>
      <c r="J87">
        <v>1315717200</v>
      </c>
      <c r="K87">
        <v>1316408400</v>
      </c>
      <c r="L87" t="b">
        <v>0</v>
      </c>
      <c r="M87" t="b">
        <v>0</v>
      </c>
      <c r="N87" t="s">
        <v>60</v>
      </c>
      <c r="O87" s="4">
        <f t="shared" si="3"/>
        <v>0.76205287713841363</v>
      </c>
      <c r="P87" t="str">
        <f t="shared" si="4"/>
        <v>music</v>
      </c>
      <c r="Q87" t="str">
        <f t="shared" si="5"/>
        <v>indie rock</v>
      </c>
    </row>
    <row r="88" spans="1:17" x14ac:dyDescent="0.3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t="s">
        <v>20</v>
      </c>
      <c r="G88">
        <v>203</v>
      </c>
      <c r="H88" t="s">
        <v>21</v>
      </c>
      <c r="I88" t="s">
        <v>22</v>
      </c>
      <c r="J88">
        <v>1430715600</v>
      </c>
      <c r="K88">
        <v>1431838800</v>
      </c>
      <c r="L88" t="b">
        <v>1</v>
      </c>
      <c r="M88" t="b">
        <v>0</v>
      </c>
      <c r="N88" t="s">
        <v>33</v>
      </c>
      <c r="O88" s="4">
        <f t="shared" si="3"/>
        <v>0.59653365578395812</v>
      </c>
      <c r="P88" t="str">
        <f t="shared" si="4"/>
        <v>theater</v>
      </c>
      <c r="Q88" t="str">
        <f t="shared" si="5"/>
        <v>plays</v>
      </c>
    </row>
    <row r="89" spans="1:17" ht="31.2" x14ac:dyDescent="0.3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t="s">
        <v>14</v>
      </c>
      <c r="G89">
        <v>1482</v>
      </c>
      <c r="H89" t="s">
        <v>26</v>
      </c>
      <c r="I89" t="s">
        <v>27</v>
      </c>
      <c r="J89">
        <v>1299564000</v>
      </c>
      <c r="K89">
        <v>1300510800</v>
      </c>
      <c r="L89" t="b">
        <v>0</v>
      </c>
      <c r="M89" t="b">
        <v>1</v>
      </c>
      <c r="N89" t="s">
        <v>23</v>
      </c>
      <c r="O89" s="4">
        <f t="shared" si="3"/>
        <v>1.6132964889466841</v>
      </c>
      <c r="P89" t="str">
        <f t="shared" si="4"/>
        <v>music</v>
      </c>
      <c r="Q89" t="str">
        <f t="shared" si="5"/>
        <v>rock</v>
      </c>
    </row>
    <row r="90" spans="1:17" x14ac:dyDescent="0.3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t="s">
        <v>20</v>
      </c>
      <c r="G90">
        <v>113</v>
      </c>
      <c r="H90" t="s">
        <v>21</v>
      </c>
      <c r="I90" t="s">
        <v>22</v>
      </c>
      <c r="J90">
        <v>1429160400</v>
      </c>
      <c r="K90">
        <v>1431061200</v>
      </c>
      <c r="L90" t="b">
        <v>0</v>
      </c>
      <c r="M90" t="b">
        <v>0</v>
      </c>
      <c r="N90" t="s">
        <v>206</v>
      </c>
      <c r="O90" s="4">
        <f t="shared" si="3"/>
        <v>0.38350910834132312</v>
      </c>
      <c r="P90" t="str">
        <f t="shared" si="4"/>
        <v>publishing</v>
      </c>
      <c r="Q90" t="str">
        <f t="shared" si="5"/>
        <v>translations</v>
      </c>
    </row>
    <row r="91" spans="1:17" x14ac:dyDescent="0.3">
      <c r="A91">
        <v>89</v>
      </c>
      <c r="B91" t="s">
        <v>227</v>
      </c>
      <c r="C91" s="3" t="s">
        <v>228</v>
      </c>
      <c r="D91">
        <v>3400</v>
      </c>
      <c r="E91">
        <v>8588</v>
      </c>
      <c r="F91" t="s">
        <v>20</v>
      </c>
      <c r="G91">
        <v>96</v>
      </c>
      <c r="H91" t="s">
        <v>21</v>
      </c>
      <c r="I91" t="s">
        <v>22</v>
      </c>
      <c r="J91">
        <v>1271307600</v>
      </c>
      <c r="K91">
        <v>1271480400</v>
      </c>
      <c r="L91" t="b">
        <v>0</v>
      </c>
      <c r="M91" t="b">
        <v>0</v>
      </c>
      <c r="N91" t="s">
        <v>33</v>
      </c>
      <c r="O91" s="4">
        <f t="shared" si="3"/>
        <v>0.39590125756870054</v>
      </c>
      <c r="P91" t="str">
        <f t="shared" si="4"/>
        <v>theater</v>
      </c>
      <c r="Q91" t="str">
        <f t="shared" si="5"/>
        <v>plays</v>
      </c>
    </row>
    <row r="92" spans="1:17" x14ac:dyDescent="0.3">
      <c r="A92">
        <v>90</v>
      </c>
      <c r="B92" t="s">
        <v>229</v>
      </c>
      <c r="C92" s="3" t="s">
        <v>230</v>
      </c>
      <c r="D92">
        <v>7800</v>
      </c>
      <c r="E92">
        <v>6132</v>
      </c>
      <c r="F92" t="s">
        <v>14</v>
      </c>
      <c r="G92">
        <v>106</v>
      </c>
      <c r="H92" t="s">
        <v>21</v>
      </c>
      <c r="I92" t="s">
        <v>22</v>
      </c>
      <c r="J92">
        <v>1456380000</v>
      </c>
      <c r="K92">
        <v>1456380000</v>
      </c>
      <c r="L92" t="b">
        <v>0</v>
      </c>
      <c r="M92" t="b">
        <v>1</v>
      </c>
      <c r="N92" t="s">
        <v>33</v>
      </c>
      <c r="O92" s="4">
        <f t="shared" si="3"/>
        <v>1.2720156555772995</v>
      </c>
      <c r="P92" t="str">
        <f t="shared" si="4"/>
        <v>theater</v>
      </c>
      <c r="Q92" t="str">
        <f t="shared" si="5"/>
        <v>plays</v>
      </c>
    </row>
    <row r="93" spans="1:17" x14ac:dyDescent="0.3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t="s">
        <v>14</v>
      </c>
      <c r="G93">
        <v>679</v>
      </c>
      <c r="H93" t="s">
        <v>107</v>
      </c>
      <c r="I93" t="s">
        <v>108</v>
      </c>
      <c r="J93">
        <v>1470459600</v>
      </c>
      <c r="K93">
        <v>1472878800</v>
      </c>
      <c r="L93" t="b">
        <v>0</v>
      </c>
      <c r="M93" t="b">
        <v>0</v>
      </c>
      <c r="N93" t="s">
        <v>206</v>
      </c>
      <c r="O93" s="4">
        <f t="shared" si="3"/>
        <v>2.0659275921165383</v>
      </c>
      <c r="P93" t="str">
        <f t="shared" si="4"/>
        <v>publishing</v>
      </c>
      <c r="Q93" t="str">
        <f t="shared" si="5"/>
        <v>translations</v>
      </c>
    </row>
    <row r="94" spans="1:17" ht="31.2" x14ac:dyDescent="0.3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t="s">
        <v>20</v>
      </c>
      <c r="G94">
        <v>498</v>
      </c>
      <c r="H94" t="s">
        <v>98</v>
      </c>
      <c r="I94" t="s">
        <v>99</v>
      </c>
      <c r="J94">
        <v>1277269200</v>
      </c>
      <c r="K94">
        <v>1277355600</v>
      </c>
      <c r="L94" t="b">
        <v>0</v>
      </c>
      <c r="M94" t="b">
        <v>1</v>
      </c>
      <c r="N94" t="s">
        <v>89</v>
      </c>
      <c r="O94" s="4">
        <f t="shared" si="3"/>
        <v>0.38628681796233705</v>
      </c>
      <c r="P94" t="str">
        <f t="shared" si="4"/>
        <v>games</v>
      </c>
      <c r="Q94" t="str">
        <f t="shared" si="5"/>
        <v>video games</v>
      </c>
    </row>
    <row r="95" spans="1:17" x14ac:dyDescent="0.3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t="s">
        <v>74</v>
      </c>
      <c r="G95">
        <v>610</v>
      </c>
      <c r="H95" t="s">
        <v>21</v>
      </c>
      <c r="I95" t="s">
        <v>22</v>
      </c>
      <c r="J95">
        <v>1350709200</v>
      </c>
      <c r="K95">
        <v>1351054800</v>
      </c>
      <c r="L95" t="b">
        <v>0</v>
      </c>
      <c r="M95" t="b">
        <v>1</v>
      </c>
      <c r="N95" t="s">
        <v>33</v>
      </c>
      <c r="O95" s="4">
        <f t="shared" si="3"/>
        <v>1.6515627609028949</v>
      </c>
      <c r="P95" t="str">
        <f t="shared" si="4"/>
        <v>theater</v>
      </c>
      <c r="Q95" t="str">
        <f t="shared" si="5"/>
        <v>plays</v>
      </c>
    </row>
    <row r="96" spans="1:17" x14ac:dyDescent="0.3">
      <c r="A96">
        <v>94</v>
      </c>
      <c r="B96" t="s">
        <v>237</v>
      </c>
      <c r="C96" s="3" t="s">
        <v>238</v>
      </c>
      <c r="D96">
        <v>2900</v>
      </c>
      <c r="E96">
        <v>8807</v>
      </c>
      <c r="F96" t="s">
        <v>20</v>
      </c>
      <c r="G96">
        <v>180</v>
      </c>
      <c r="H96" t="s">
        <v>40</v>
      </c>
      <c r="I96" t="s">
        <v>41</v>
      </c>
      <c r="J96">
        <v>1554613200</v>
      </c>
      <c r="K96">
        <v>1555563600</v>
      </c>
      <c r="L96" t="b">
        <v>0</v>
      </c>
      <c r="M96" t="b">
        <v>0</v>
      </c>
      <c r="N96" t="s">
        <v>28</v>
      </c>
      <c r="O96" s="4">
        <f t="shared" si="3"/>
        <v>0.32928352446917225</v>
      </c>
      <c r="P96" t="str">
        <f t="shared" si="4"/>
        <v>technology</v>
      </c>
      <c r="Q96" t="str">
        <f t="shared" si="5"/>
        <v>web</v>
      </c>
    </row>
    <row r="97" spans="1:17" ht="31.2" x14ac:dyDescent="0.3">
      <c r="A97">
        <v>95</v>
      </c>
      <c r="B97" t="s">
        <v>239</v>
      </c>
      <c r="C97" s="3" t="s">
        <v>240</v>
      </c>
      <c r="D97">
        <v>900</v>
      </c>
      <c r="E97">
        <v>1017</v>
      </c>
      <c r="F97" t="s">
        <v>20</v>
      </c>
      <c r="G97">
        <v>27</v>
      </c>
      <c r="H97" t="s">
        <v>21</v>
      </c>
      <c r="I97" t="s">
        <v>22</v>
      </c>
      <c r="J97">
        <v>1571029200</v>
      </c>
      <c r="K97">
        <v>1571634000</v>
      </c>
      <c r="L97" t="b">
        <v>0</v>
      </c>
      <c r="M97" t="b">
        <v>0</v>
      </c>
      <c r="N97" t="s">
        <v>42</v>
      </c>
      <c r="O97" s="4">
        <f t="shared" si="3"/>
        <v>0.88495575221238942</v>
      </c>
      <c r="P97" t="str">
        <f t="shared" si="4"/>
        <v>film &amp; video</v>
      </c>
      <c r="Q97" t="str">
        <f t="shared" si="5"/>
        <v>documentary</v>
      </c>
    </row>
    <row r="98" spans="1:17" x14ac:dyDescent="0.3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t="s">
        <v>20</v>
      </c>
      <c r="G98">
        <v>2331</v>
      </c>
      <c r="H98" t="s">
        <v>21</v>
      </c>
      <c r="I98" t="s">
        <v>22</v>
      </c>
      <c r="J98">
        <v>1299736800</v>
      </c>
      <c r="K98">
        <v>1300856400</v>
      </c>
      <c r="L98" t="b">
        <v>0</v>
      </c>
      <c r="M98" t="b">
        <v>0</v>
      </c>
      <c r="N98" t="s">
        <v>33</v>
      </c>
      <c r="O98" s="4">
        <f t="shared" si="3"/>
        <v>0.46002653237675972</v>
      </c>
      <c r="P98" t="str">
        <f t="shared" si="4"/>
        <v>theater</v>
      </c>
      <c r="Q98" t="str">
        <f t="shared" si="5"/>
        <v>plays</v>
      </c>
    </row>
    <row r="99" spans="1:17" x14ac:dyDescent="0.3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t="s">
        <v>20</v>
      </c>
      <c r="G99">
        <v>113</v>
      </c>
      <c r="H99" t="s">
        <v>21</v>
      </c>
      <c r="I99" t="s">
        <v>22</v>
      </c>
      <c r="J99">
        <v>1435208400</v>
      </c>
      <c r="K99">
        <v>1439874000</v>
      </c>
      <c r="L99" t="b">
        <v>0</v>
      </c>
      <c r="M99" t="b">
        <v>0</v>
      </c>
      <c r="N99" t="s">
        <v>17</v>
      </c>
      <c r="O99" s="4">
        <f t="shared" si="3"/>
        <v>0.10791068315763261</v>
      </c>
      <c r="P99" t="str">
        <f t="shared" si="4"/>
        <v>food</v>
      </c>
      <c r="Q99" t="str">
        <f t="shared" si="5"/>
        <v>food trucks</v>
      </c>
    </row>
    <row r="100" spans="1:17" x14ac:dyDescent="0.3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t="s">
        <v>14</v>
      </c>
      <c r="G100">
        <v>1220</v>
      </c>
      <c r="H100" t="s">
        <v>26</v>
      </c>
      <c r="I100" t="s">
        <v>27</v>
      </c>
      <c r="J100">
        <v>1437973200</v>
      </c>
      <c r="K100">
        <v>1438318800</v>
      </c>
      <c r="L100" t="b">
        <v>0</v>
      </c>
      <c r="M100" t="b">
        <v>0</v>
      </c>
      <c r="N100" t="s">
        <v>89</v>
      </c>
      <c r="O100" s="4">
        <f t="shared" si="3"/>
        <v>2.9680434584686353</v>
      </c>
      <c r="P100" t="str">
        <f t="shared" si="4"/>
        <v>games</v>
      </c>
      <c r="Q100" t="str">
        <f t="shared" si="5"/>
        <v>video games</v>
      </c>
    </row>
    <row r="101" spans="1:17" ht="31.2" x14ac:dyDescent="0.3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t="s">
        <v>20</v>
      </c>
      <c r="G101">
        <v>164</v>
      </c>
      <c r="H101" t="s">
        <v>21</v>
      </c>
      <c r="I101" t="s">
        <v>22</v>
      </c>
      <c r="J101">
        <v>1416895200</v>
      </c>
      <c r="K101">
        <v>1419400800</v>
      </c>
      <c r="L101" t="b">
        <v>0</v>
      </c>
      <c r="M101" t="b">
        <v>0</v>
      </c>
      <c r="N101" t="s">
        <v>33</v>
      </c>
      <c r="O101" s="4">
        <f t="shared" si="3"/>
        <v>0.50832720219383321</v>
      </c>
      <c r="P101" t="str">
        <f t="shared" si="4"/>
        <v>theater</v>
      </c>
      <c r="Q101" t="str">
        <f t="shared" si="5"/>
        <v>plays</v>
      </c>
    </row>
    <row r="102" spans="1:17" x14ac:dyDescent="0.3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t="s">
        <v>14</v>
      </c>
      <c r="G102">
        <v>1</v>
      </c>
      <c r="H102" t="s">
        <v>21</v>
      </c>
      <c r="I102" t="s">
        <v>22</v>
      </c>
      <c r="J102">
        <v>1319000400</v>
      </c>
      <c r="K102">
        <v>1320555600</v>
      </c>
      <c r="L102" t="b">
        <v>0</v>
      </c>
      <c r="M102" t="b">
        <v>0</v>
      </c>
      <c r="N102" t="s">
        <v>33</v>
      </c>
      <c r="O102" s="4">
        <f t="shared" si="3"/>
        <v>100</v>
      </c>
      <c r="P102" t="str">
        <f t="shared" si="4"/>
        <v>theater</v>
      </c>
      <c r="Q102" t="str">
        <f t="shared" si="5"/>
        <v>plays</v>
      </c>
    </row>
    <row r="103" spans="1:17" x14ac:dyDescent="0.3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t="s">
        <v>20</v>
      </c>
      <c r="G103">
        <v>164</v>
      </c>
      <c r="H103" t="s">
        <v>21</v>
      </c>
      <c r="I103" t="s">
        <v>22</v>
      </c>
      <c r="J103">
        <v>1424498400</v>
      </c>
      <c r="K103">
        <v>1425103200</v>
      </c>
      <c r="L103" t="b">
        <v>0</v>
      </c>
      <c r="M103" t="b">
        <v>1</v>
      </c>
      <c r="N103" t="s">
        <v>50</v>
      </c>
      <c r="O103" s="4">
        <f t="shared" si="3"/>
        <v>9.7900576525617317E-2</v>
      </c>
      <c r="P103" t="str">
        <f t="shared" si="4"/>
        <v>music</v>
      </c>
      <c r="Q103" t="str">
        <f t="shared" si="5"/>
        <v>electric music</v>
      </c>
    </row>
    <row r="104" spans="1:17" x14ac:dyDescent="0.3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t="s">
        <v>20</v>
      </c>
      <c r="G104">
        <v>336</v>
      </c>
      <c r="H104" t="s">
        <v>21</v>
      </c>
      <c r="I104" t="s">
        <v>22</v>
      </c>
      <c r="J104">
        <v>1526274000</v>
      </c>
      <c r="K104">
        <v>1526878800</v>
      </c>
      <c r="L104" t="b">
        <v>0</v>
      </c>
      <c r="M104" t="b">
        <v>1</v>
      </c>
      <c r="N104" t="s">
        <v>65</v>
      </c>
      <c r="O104" s="4">
        <f t="shared" si="3"/>
        <v>0.35501823066589905</v>
      </c>
      <c r="P104" t="str">
        <f t="shared" si="4"/>
        <v>technology</v>
      </c>
      <c r="Q104" t="str">
        <f t="shared" si="5"/>
        <v>wearables</v>
      </c>
    </row>
    <row r="105" spans="1:17" x14ac:dyDescent="0.3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t="s">
        <v>14</v>
      </c>
      <c r="G105">
        <v>37</v>
      </c>
      <c r="H105" t="s">
        <v>107</v>
      </c>
      <c r="I105" t="s">
        <v>108</v>
      </c>
      <c r="J105">
        <v>1287896400</v>
      </c>
      <c r="K105">
        <v>1288674000</v>
      </c>
      <c r="L105" t="b">
        <v>0</v>
      </c>
      <c r="M105" t="b">
        <v>0</v>
      </c>
      <c r="N105" t="s">
        <v>50</v>
      </c>
      <c r="O105" s="4">
        <f t="shared" si="3"/>
        <v>4.0633888663145061</v>
      </c>
      <c r="P105" t="str">
        <f t="shared" si="4"/>
        <v>music</v>
      </c>
      <c r="Q105" t="str">
        <f t="shared" si="5"/>
        <v>electric music</v>
      </c>
    </row>
    <row r="106" spans="1:17" x14ac:dyDescent="0.3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t="s">
        <v>20</v>
      </c>
      <c r="G106">
        <v>1917</v>
      </c>
      <c r="H106" t="s">
        <v>21</v>
      </c>
      <c r="I106" t="s">
        <v>22</v>
      </c>
      <c r="J106">
        <v>1495515600</v>
      </c>
      <c r="K106">
        <v>1495602000</v>
      </c>
      <c r="L106" t="b">
        <v>0</v>
      </c>
      <c r="M106" t="b">
        <v>0</v>
      </c>
      <c r="N106" t="s">
        <v>60</v>
      </c>
      <c r="O106" s="4">
        <f t="shared" si="3"/>
        <v>0.69861624751645446</v>
      </c>
      <c r="P106" t="str">
        <f t="shared" si="4"/>
        <v>music</v>
      </c>
      <c r="Q106" t="str">
        <f t="shared" si="5"/>
        <v>indie rock</v>
      </c>
    </row>
    <row r="107" spans="1:17" x14ac:dyDescent="0.3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t="s">
        <v>20</v>
      </c>
      <c r="G107">
        <v>95</v>
      </c>
      <c r="H107" t="s">
        <v>21</v>
      </c>
      <c r="I107" t="s">
        <v>22</v>
      </c>
      <c r="J107">
        <v>1364878800</v>
      </c>
      <c r="K107">
        <v>1366434000</v>
      </c>
      <c r="L107" t="b">
        <v>0</v>
      </c>
      <c r="M107" t="b">
        <v>0</v>
      </c>
      <c r="N107" t="s">
        <v>28</v>
      </c>
      <c r="O107" s="4">
        <f t="shared" si="3"/>
        <v>0.69183029809746666</v>
      </c>
      <c r="P107" t="str">
        <f t="shared" si="4"/>
        <v>technology</v>
      </c>
      <c r="Q107" t="str">
        <f t="shared" si="5"/>
        <v>web</v>
      </c>
    </row>
    <row r="108" spans="1:17" x14ac:dyDescent="0.3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t="s">
        <v>20</v>
      </c>
      <c r="G108">
        <v>147</v>
      </c>
      <c r="H108" t="s">
        <v>21</v>
      </c>
      <c r="I108" t="s">
        <v>22</v>
      </c>
      <c r="J108">
        <v>1567918800</v>
      </c>
      <c r="K108">
        <v>1568350800</v>
      </c>
      <c r="L108" t="b">
        <v>0</v>
      </c>
      <c r="M108" t="b">
        <v>0</v>
      </c>
      <c r="N108" t="s">
        <v>33</v>
      </c>
      <c r="O108" s="4">
        <f t="shared" si="3"/>
        <v>0.27845209196058834</v>
      </c>
      <c r="P108" t="str">
        <f t="shared" si="4"/>
        <v>theater</v>
      </c>
      <c r="Q108" t="str">
        <f t="shared" si="5"/>
        <v>plays</v>
      </c>
    </row>
    <row r="109" spans="1:17" ht="31.2" x14ac:dyDescent="0.3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t="s">
        <v>20</v>
      </c>
      <c r="G109">
        <v>86</v>
      </c>
      <c r="H109" t="s">
        <v>21</v>
      </c>
      <c r="I109" t="s">
        <v>22</v>
      </c>
      <c r="J109">
        <v>1524459600</v>
      </c>
      <c r="K109">
        <v>1525928400</v>
      </c>
      <c r="L109" t="b">
        <v>0</v>
      </c>
      <c r="M109" t="b">
        <v>1</v>
      </c>
      <c r="N109" t="s">
        <v>33</v>
      </c>
      <c r="O109" s="4">
        <f t="shared" si="3"/>
        <v>0.53623410448904552</v>
      </c>
      <c r="P109" t="str">
        <f t="shared" si="4"/>
        <v>theater</v>
      </c>
      <c r="Q109" t="str">
        <f t="shared" si="5"/>
        <v>plays</v>
      </c>
    </row>
    <row r="110" spans="1:17" ht="31.2" x14ac:dyDescent="0.3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t="s">
        <v>20</v>
      </c>
      <c r="G110">
        <v>83</v>
      </c>
      <c r="H110" t="s">
        <v>21</v>
      </c>
      <c r="I110" t="s">
        <v>22</v>
      </c>
      <c r="J110">
        <v>1333688400</v>
      </c>
      <c r="K110">
        <v>1336885200</v>
      </c>
      <c r="L110" t="b">
        <v>0</v>
      </c>
      <c r="M110" t="b">
        <v>0</v>
      </c>
      <c r="N110" t="s">
        <v>42</v>
      </c>
      <c r="O110" s="4">
        <f t="shared" si="3"/>
        <v>0.16799193638705343</v>
      </c>
      <c r="P110" t="str">
        <f t="shared" si="4"/>
        <v>film &amp; video</v>
      </c>
      <c r="Q110" t="str">
        <f t="shared" si="5"/>
        <v>documentary</v>
      </c>
    </row>
    <row r="111" spans="1:17" x14ac:dyDescent="0.3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t="s">
        <v>14</v>
      </c>
      <c r="G111">
        <v>60</v>
      </c>
      <c r="H111" t="s">
        <v>21</v>
      </c>
      <c r="I111" t="s">
        <v>22</v>
      </c>
      <c r="J111">
        <v>1389506400</v>
      </c>
      <c r="K111">
        <v>1389679200</v>
      </c>
      <c r="L111" t="b">
        <v>0</v>
      </c>
      <c r="M111" t="b">
        <v>0</v>
      </c>
      <c r="N111" t="s">
        <v>269</v>
      </c>
      <c r="O111" s="4">
        <f t="shared" si="3"/>
        <v>1.6888600194868464</v>
      </c>
      <c r="P111" t="str">
        <f t="shared" si="4"/>
        <v>film &amp; video</v>
      </c>
      <c r="Q111" t="str">
        <f t="shared" si="5"/>
        <v>television</v>
      </c>
    </row>
    <row r="112" spans="1:17" ht="31.2" x14ac:dyDescent="0.3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t="s">
        <v>14</v>
      </c>
      <c r="G112">
        <v>296</v>
      </c>
      <c r="H112" t="s">
        <v>21</v>
      </c>
      <c r="I112" t="s">
        <v>22</v>
      </c>
      <c r="J112">
        <v>1536642000</v>
      </c>
      <c r="K112">
        <v>1538283600</v>
      </c>
      <c r="L112" t="b">
        <v>0</v>
      </c>
      <c r="M112" t="b">
        <v>0</v>
      </c>
      <c r="N112" t="s">
        <v>17</v>
      </c>
      <c r="O112" s="4">
        <f t="shared" si="3"/>
        <v>6.6832496362697702</v>
      </c>
      <c r="P112" t="str">
        <f t="shared" si="4"/>
        <v>food</v>
      </c>
      <c r="Q112" t="str">
        <f t="shared" si="5"/>
        <v>food trucks</v>
      </c>
    </row>
    <row r="113" spans="1:17" x14ac:dyDescent="0.3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t="s">
        <v>20</v>
      </c>
      <c r="G113">
        <v>676</v>
      </c>
      <c r="H113" t="s">
        <v>21</v>
      </c>
      <c r="I113" t="s">
        <v>22</v>
      </c>
      <c r="J113">
        <v>1348290000</v>
      </c>
      <c r="K113">
        <v>1348808400</v>
      </c>
      <c r="L113" t="b">
        <v>0</v>
      </c>
      <c r="M113" t="b">
        <v>0</v>
      </c>
      <c r="N113" t="s">
        <v>133</v>
      </c>
      <c r="O113" s="4">
        <f t="shared" si="3"/>
        <v>0.83363881987155986</v>
      </c>
      <c r="P113" t="str">
        <f t="shared" si="4"/>
        <v>publishing</v>
      </c>
      <c r="Q113" t="str">
        <f t="shared" si="5"/>
        <v>radio &amp; podcasts</v>
      </c>
    </row>
    <row r="114" spans="1:17" x14ac:dyDescent="0.3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t="s">
        <v>20</v>
      </c>
      <c r="G114">
        <v>361</v>
      </c>
      <c r="H114" t="s">
        <v>26</v>
      </c>
      <c r="I114" t="s">
        <v>27</v>
      </c>
      <c r="J114">
        <v>1408856400</v>
      </c>
      <c r="K114">
        <v>1410152400</v>
      </c>
      <c r="L114" t="b">
        <v>0</v>
      </c>
      <c r="M114" t="b">
        <v>0</v>
      </c>
      <c r="N114" t="s">
        <v>28</v>
      </c>
      <c r="O114" s="4">
        <f t="shared" si="3"/>
        <v>0.37198258804907003</v>
      </c>
      <c r="P114" t="str">
        <f t="shared" si="4"/>
        <v>technology</v>
      </c>
      <c r="Q114" t="str">
        <f t="shared" si="5"/>
        <v>web</v>
      </c>
    </row>
    <row r="115" spans="1:17" x14ac:dyDescent="0.3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t="s">
        <v>20</v>
      </c>
      <c r="G115">
        <v>131</v>
      </c>
      <c r="H115" t="s">
        <v>21</v>
      </c>
      <c r="I115" t="s">
        <v>22</v>
      </c>
      <c r="J115">
        <v>1505192400</v>
      </c>
      <c r="K115">
        <v>1505797200</v>
      </c>
      <c r="L115" t="b">
        <v>0</v>
      </c>
      <c r="M115" t="b">
        <v>0</v>
      </c>
      <c r="N115" t="s">
        <v>17</v>
      </c>
      <c r="O115" s="4">
        <f t="shared" si="3"/>
        <v>0.26533729999195949</v>
      </c>
      <c r="P115" t="str">
        <f t="shared" si="4"/>
        <v>food</v>
      </c>
      <c r="Q115" t="str">
        <f t="shared" si="5"/>
        <v>food trucks</v>
      </c>
    </row>
    <row r="116" spans="1:17" x14ac:dyDescent="0.3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t="s">
        <v>20</v>
      </c>
      <c r="G116">
        <v>126</v>
      </c>
      <c r="H116" t="s">
        <v>21</v>
      </c>
      <c r="I116" t="s">
        <v>22</v>
      </c>
      <c r="J116">
        <v>1554786000</v>
      </c>
      <c r="K116">
        <v>1554872400</v>
      </c>
      <c r="L116" t="b">
        <v>0</v>
      </c>
      <c r="M116" t="b">
        <v>1</v>
      </c>
      <c r="N116" t="s">
        <v>65</v>
      </c>
      <c r="O116" s="4">
        <f t="shared" si="3"/>
        <v>0.13752171395483498</v>
      </c>
      <c r="P116" t="str">
        <f t="shared" si="4"/>
        <v>technology</v>
      </c>
      <c r="Q116" t="str">
        <f t="shared" si="5"/>
        <v>wearables</v>
      </c>
    </row>
    <row r="117" spans="1:17" x14ac:dyDescent="0.3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t="s">
        <v>14</v>
      </c>
      <c r="G117">
        <v>3304</v>
      </c>
      <c r="H117" t="s">
        <v>107</v>
      </c>
      <c r="I117" t="s">
        <v>108</v>
      </c>
      <c r="J117">
        <v>1510898400</v>
      </c>
      <c r="K117">
        <v>1513922400</v>
      </c>
      <c r="L117" t="b">
        <v>0</v>
      </c>
      <c r="M117" t="b">
        <v>0</v>
      </c>
      <c r="N117" t="s">
        <v>119</v>
      </c>
      <c r="O117" s="4">
        <f t="shared" si="3"/>
        <v>1.1466343838989697</v>
      </c>
      <c r="P117" t="str">
        <f t="shared" si="4"/>
        <v>publishing</v>
      </c>
      <c r="Q117" t="str">
        <f t="shared" si="5"/>
        <v>fiction</v>
      </c>
    </row>
    <row r="118" spans="1:17" ht="31.2" x14ac:dyDescent="0.3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t="s">
        <v>14</v>
      </c>
      <c r="G118">
        <v>73</v>
      </c>
      <c r="H118" t="s">
        <v>21</v>
      </c>
      <c r="I118" t="s">
        <v>22</v>
      </c>
      <c r="J118">
        <v>1442552400</v>
      </c>
      <c r="K118">
        <v>1442638800</v>
      </c>
      <c r="L118" t="b">
        <v>0</v>
      </c>
      <c r="M118" t="b">
        <v>0</v>
      </c>
      <c r="N118" t="s">
        <v>33</v>
      </c>
      <c r="O118" s="4">
        <f t="shared" si="3"/>
        <v>1.1363636363636365</v>
      </c>
      <c r="P118" t="str">
        <f t="shared" si="4"/>
        <v>theater</v>
      </c>
      <c r="Q118" t="str">
        <f t="shared" si="5"/>
        <v>plays</v>
      </c>
    </row>
    <row r="119" spans="1:17" x14ac:dyDescent="0.3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t="s">
        <v>20</v>
      </c>
      <c r="G119">
        <v>275</v>
      </c>
      <c r="H119" t="s">
        <v>21</v>
      </c>
      <c r="I119" t="s">
        <v>22</v>
      </c>
      <c r="J119">
        <v>1316667600</v>
      </c>
      <c r="K119">
        <v>1317186000</v>
      </c>
      <c r="L119" t="b">
        <v>0</v>
      </c>
      <c r="M119" t="b">
        <v>0</v>
      </c>
      <c r="N119" t="s">
        <v>269</v>
      </c>
      <c r="O119" s="4">
        <f t="shared" si="3"/>
        <v>0.57491493605537958</v>
      </c>
      <c r="P119" t="str">
        <f t="shared" si="4"/>
        <v>film &amp; video</v>
      </c>
      <c r="Q119" t="str">
        <f t="shared" si="5"/>
        <v>television</v>
      </c>
    </row>
    <row r="120" spans="1:17" x14ac:dyDescent="0.3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t="s">
        <v>20</v>
      </c>
      <c r="G120">
        <v>67</v>
      </c>
      <c r="H120" t="s">
        <v>21</v>
      </c>
      <c r="I120" t="s">
        <v>22</v>
      </c>
      <c r="J120">
        <v>1390716000</v>
      </c>
      <c r="K120">
        <v>1391234400</v>
      </c>
      <c r="L120" t="b">
        <v>0</v>
      </c>
      <c r="M120" t="b">
        <v>0</v>
      </c>
      <c r="N120" t="s">
        <v>122</v>
      </c>
      <c r="O120" s="4">
        <f t="shared" si="3"/>
        <v>0.85025980160604631</v>
      </c>
      <c r="P120" t="str">
        <f t="shared" si="4"/>
        <v>photography</v>
      </c>
      <c r="Q120" t="str">
        <f t="shared" si="5"/>
        <v>photography books</v>
      </c>
    </row>
    <row r="121" spans="1:17" ht="31.2" x14ac:dyDescent="0.3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t="s">
        <v>20</v>
      </c>
      <c r="G121">
        <v>154</v>
      </c>
      <c r="H121" t="s">
        <v>21</v>
      </c>
      <c r="I121" t="s">
        <v>22</v>
      </c>
      <c r="J121">
        <v>1402894800</v>
      </c>
      <c r="K121">
        <v>1404363600</v>
      </c>
      <c r="L121" t="b">
        <v>0</v>
      </c>
      <c r="M121" t="b">
        <v>1</v>
      </c>
      <c r="N121" t="s">
        <v>42</v>
      </c>
      <c r="O121" s="4">
        <f t="shared" si="3"/>
        <v>0.46520282843319688</v>
      </c>
      <c r="P121" t="str">
        <f t="shared" si="4"/>
        <v>film &amp; video</v>
      </c>
      <c r="Q121" t="str">
        <f t="shared" si="5"/>
        <v>documentary</v>
      </c>
    </row>
    <row r="122" spans="1:17" x14ac:dyDescent="0.3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t="s">
        <v>20</v>
      </c>
      <c r="G122">
        <v>1782</v>
      </c>
      <c r="H122" t="s">
        <v>21</v>
      </c>
      <c r="I122" t="s">
        <v>22</v>
      </c>
      <c r="J122">
        <v>1429246800</v>
      </c>
      <c r="K122">
        <v>1429592400</v>
      </c>
      <c r="L122" t="b">
        <v>0</v>
      </c>
      <c r="M122" t="b">
        <v>1</v>
      </c>
      <c r="N122" t="s">
        <v>292</v>
      </c>
      <c r="O122" s="4">
        <f t="shared" si="3"/>
        <v>0.66891121561921052</v>
      </c>
      <c r="P122" t="str">
        <f t="shared" si="4"/>
        <v>games</v>
      </c>
      <c r="Q122" t="str">
        <f t="shared" si="5"/>
        <v>mobile games</v>
      </c>
    </row>
    <row r="123" spans="1:17" x14ac:dyDescent="0.3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t="s">
        <v>20</v>
      </c>
      <c r="G123">
        <v>903</v>
      </c>
      <c r="H123" t="s">
        <v>21</v>
      </c>
      <c r="I123" t="s">
        <v>22</v>
      </c>
      <c r="J123">
        <v>1412485200</v>
      </c>
      <c r="K123">
        <v>1413608400</v>
      </c>
      <c r="L123" t="b">
        <v>0</v>
      </c>
      <c r="M123" t="b">
        <v>0</v>
      </c>
      <c r="N123" t="s">
        <v>89</v>
      </c>
      <c r="O123" s="4">
        <f t="shared" si="3"/>
        <v>0.45591328589688107</v>
      </c>
      <c r="P123" t="str">
        <f t="shared" si="4"/>
        <v>games</v>
      </c>
      <c r="Q123" t="str">
        <f t="shared" si="5"/>
        <v>video games</v>
      </c>
    </row>
    <row r="124" spans="1:17" x14ac:dyDescent="0.3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t="s">
        <v>14</v>
      </c>
      <c r="G124">
        <v>3387</v>
      </c>
      <c r="H124" t="s">
        <v>21</v>
      </c>
      <c r="I124" t="s">
        <v>22</v>
      </c>
      <c r="J124">
        <v>1417068000</v>
      </c>
      <c r="K124">
        <v>1419400800</v>
      </c>
      <c r="L124" t="b">
        <v>0</v>
      </c>
      <c r="M124" t="b">
        <v>0</v>
      </c>
      <c r="N124" t="s">
        <v>119</v>
      </c>
      <c r="O124" s="4">
        <f t="shared" si="3"/>
        <v>1.5535744705013912</v>
      </c>
      <c r="P124" t="str">
        <f t="shared" si="4"/>
        <v>publishing</v>
      </c>
      <c r="Q124" t="str">
        <f t="shared" si="5"/>
        <v>fiction</v>
      </c>
    </row>
    <row r="125" spans="1:17" x14ac:dyDescent="0.3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t="s">
        <v>14</v>
      </c>
      <c r="G125">
        <v>662</v>
      </c>
      <c r="H125" t="s">
        <v>15</v>
      </c>
      <c r="I125" t="s">
        <v>16</v>
      </c>
      <c r="J125">
        <v>1448344800</v>
      </c>
      <c r="K125">
        <v>1448604000</v>
      </c>
      <c r="L125" t="b">
        <v>1</v>
      </c>
      <c r="M125" t="b">
        <v>0</v>
      </c>
      <c r="N125" t="s">
        <v>33</v>
      </c>
      <c r="O125" s="4">
        <f t="shared" si="3"/>
        <v>5.3698779161126557</v>
      </c>
      <c r="P125" t="str">
        <f t="shared" si="4"/>
        <v>theater</v>
      </c>
      <c r="Q125" t="str">
        <f t="shared" si="5"/>
        <v>plays</v>
      </c>
    </row>
    <row r="126" spans="1:17" x14ac:dyDescent="0.3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t="s">
        <v>20</v>
      </c>
      <c r="G126">
        <v>94</v>
      </c>
      <c r="H126" t="s">
        <v>107</v>
      </c>
      <c r="I126" t="s">
        <v>108</v>
      </c>
      <c r="J126">
        <v>1557723600</v>
      </c>
      <c r="K126">
        <v>1562302800</v>
      </c>
      <c r="L126" t="b">
        <v>0</v>
      </c>
      <c r="M126" t="b">
        <v>0</v>
      </c>
      <c r="N126" t="s">
        <v>122</v>
      </c>
      <c r="O126" s="4">
        <f t="shared" si="3"/>
        <v>0.2719096423342397</v>
      </c>
      <c r="P126" t="str">
        <f t="shared" si="4"/>
        <v>photography</v>
      </c>
      <c r="Q126" t="str">
        <f t="shared" si="5"/>
        <v>photography books</v>
      </c>
    </row>
    <row r="127" spans="1:17" x14ac:dyDescent="0.3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t="s">
        <v>20</v>
      </c>
      <c r="G127">
        <v>180</v>
      </c>
      <c r="H127" t="s">
        <v>21</v>
      </c>
      <c r="I127" t="s">
        <v>22</v>
      </c>
      <c r="J127">
        <v>1537333200</v>
      </c>
      <c r="K127">
        <v>1537678800</v>
      </c>
      <c r="L127" t="b">
        <v>0</v>
      </c>
      <c r="M127" t="b">
        <v>0</v>
      </c>
      <c r="N127" t="s">
        <v>33</v>
      </c>
      <c r="O127" s="4">
        <f t="shared" si="3"/>
        <v>0.62536873156342188</v>
      </c>
      <c r="P127" t="str">
        <f t="shared" si="4"/>
        <v>theater</v>
      </c>
      <c r="Q127" t="str">
        <f t="shared" si="5"/>
        <v>plays</v>
      </c>
    </row>
    <row r="128" spans="1:17" x14ac:dyDescent="0.3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t="s">
        <v>14</v>
      </c>
      <c r="G128">
        <v>774</v>
      </c>
      <c r="H128" t="s">
        <v>21</v>
      </c>
      <c r="I128" t="s">
        <v>22</v>
      </c>
      <c r="J128">
        <v>1471150800</v>
      </c>
      <c r="K128">
        <v>1473570000</v>
      </c>
      <c r="L128" t="b">
        <v>0</v>
      </c>
      <c r="M128" t="b">
        <v>1</v>
      </c>
      <c r="N128" t="s">
        <v>33</v>
      </c>
      <c r="O128" s="4">
        <f t="shared" si="3"/>
        <v>2.5884482238533693</v>
      </c>
      <c r="P128" t="str">
        <f t="shared" si="4"/>
        <v>theater</v>
      </c>
      <c r="Q128" t="str">
        <f t="shared" si="5"/>
        <v>plays</v>
      </c>
    </row>
    <row r="129" spans="1:17" x14ac:dyDescent="0.3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t="s">
        <v>14</v>
      </c>
      <c r="G129">
        <v>672</v>
      </c>
      <c r="H129" t="s">
        <v>15</v>
      </c>
      <c r="I129" t="s">
        <v>16</v>
      </c>
      <c r="J129">
        <v>1273640400</v>
      </c>
      <c r="K129">
        <v>1273899600</v>
      </c>
      <c r="L129" t="b">
        <v>0</v>
      </c>
      <c r="M129" t="b">
        <v>0</v>
      </c>
      <c r="N129" t="s">
        <v>33</v>
      </c>
      <c r="O129" s="4">
        <f t="shared" si="3"/>
        <v>1.9447114025665668</v>
      </c>
      <c r="P129" t="str">
        <f t="shared" si="4"/>
        <v>theater</v>
      </c>
      <c r="Q129" t="str">
        <f t="shared" si="5"/>
        <v>plays</v>
      </c>
    </row>
    <row r="130" spans="1:17" x14ac:dyDescent="0.3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t="s">
        <v>74</v>
      </c>
      <c r="G130">
        <v>532</v>
      </c>
      <c r="H130" t="s">
        <v>21</v>
      </c>
      <c r="I130" t="s">
        <v>22</v>
      </c>
      <c r="J130">
        <v>1282885200</v>
      </c>
      <c r="K130">
        <v>1284008400</v>
      </c>
      <c r="L130" t="b">
        <v>0</v>
      </c>
      <c r="M130" t="b">
        <v>0</v>
      </c>
      <c r="N130" t="s">
        <v>23</v>
      </c>
      <c r="O130" s="4">
        <f t="shared" si="3"/>
        <v>1.6574326227814817</v>
      </c>
      <c r="P130" t="str">
        <f t="shared" si="4"/>
        <v>music</v>
      </c>
      <c r="Q130" t="str">
        <f t="shared" si="5"/>
        <v>rock</v>
      </c>
    </row>
    <row r="131" spans="1:17" x14ac:dyDescent="0.3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t="s">
        <v>74</v>
      </c>
      <c r="G131">
        <v>55</v>
      </c>
      <c r="H131" t="s">
        <v>26</v>
      </c>
      <c r="I131" t="s">
        <v>27</v>
      </c>
      <c r="J131">
        <v>1422943200</v>
      </c>
      <c r="K131">
        <v>1425103200</v>
      </c>
      <c r="L131" t="b">
        <v>0</v>
      </c>
      <c r="M131" t="b">
        <v>0</v>
      </c>
      <c r="N131" t="s">
        <v>17</v>
      </c>
      <c r="O131" s="4">
        <f t="shared" ref="O131:O194" si="6">D131/E131</f>
        <v>31.223717409587888</v>
      </c>
      <c r="P131" t="str">
        <f t="shared" ref="P131:P194" si="7">LEFT(N131,SEARCH("/",N131) -1)</f>
        <v>food</v>
      </c>
      <c r="Q131" t="str">
        <f t="shared" ref="Q131:Q194" si="8">RIGHT(N131,LEN(N131)-SEARCH("/",N131))</f>
        <v>food trucks</v>
      </c>
    </row>
    <row r="132" spans="1:17" x14ac:dyDescent="0.3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t="s">
        <v>20</v>
      </c>
      <c r="G132">
        <v>533</v>
      </c>
      <c r="H132" t="s">
        <v>36</v>
      </c>
      <c r="I132" t="s">
        <v>37</v>
      </c>
      <c r="J132">
        <v>1319605200</v>
      </c>
      <c r="K132">
        <v>1320991200</v>
      </c>
      <c r="L132" t="b">
        <v>0</v>
      </c>
      <c r="M132" t="b">
        <v>0</v>
      </c>
      <c r="N132" t="s">
        <v>53</v>
      </c>
      <c r="O132" s="4">
        <f t="shared" si="6"/>
        <v>0.64321608040201006</v>
      </c>
      <c r="P132" t="str">
        <f t="shared" si="7"/>
        <v>film &amp; video</v>
      </c>
      <c r="Q132" t="str">
        <f t="shared" si="8"/>
        <v>drama</v>
      </c>
    </row>
    <row r="133" spans="1:17" ht="31.2" x14ac:dyDescent="0.3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t="s">
        <v>20</v>
      </c>
      <c r="G133">
        <v>2443</v>
      </c>
      <c r="H133" t="s">
        <v>40</v>
      </c>
      <c r="I133" t="s">
        <v>41</v>
      </c>
      <c r="J133">
        <v>1385704800</v>
      </c>
      <c r="K133">
        <v>1386828000</v>
      </c>
      <c r="L133" t="b">
        <v>0</v>
      </c>
      <c r="M133" t="b">
        <v>0</v>
      </c>
      <c r="N133" t="s">
        <v>28</v>
      </c>
      <c r="O133" s="4">
        <f t="shared" si="6"/>
        <v>0.99147583616268153</v>
      </c>
      <c r="P133" t="str">
        <f t="shared" si="7"/>
        <v>technology</v>
      </c>
      <c r="Q133" t="str">
        <f t="shared" si="8"/>
        <v>web</v>
      </c>
    </row>
    <row r="134" spans="1:17" x14ac:dyDescent="0.3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t="s">
        <v>20</v>
      </c>
      <c r="G134">
        <v>89</v>
      </c>
      <c r="H134" t="s">
        <v>21</v>
      </c>
      <c r="I134" t="s">
        <v>22</v>
      </c>
      <c r="J134">
        <v>1515736800</v>
      </c>
      <c r="K134">
        <v>1517119200</v>
      </c>
      <c r="L134" t="b">
        <v>0</v>
      </c>
      <c r="M134" t="b">
        <v>1</v>
      </c>
      <c r="N134" t="s">
        <v>33</v>
      </c>
      <c r="O134" s="4">
        <f t="shared" si="6"/>
        <v>0.86071987480438183</v>
      </c>
      <c r="P134" t="str">
        <f t="shared" si="7"/>
        <v>theater</v>
      </c>
      <c r="Q134" t="str">
        <f t="shared" si="8"/>
        <v>plays</v>
      </c>
    </row>
    <row r="135" spans="1:17" x14ac:dyDescent="0.3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t="s">
        <v>20</v>
      </c>
      <c r="G135">
        <v>159</v>
      </c>
      <c r="H135" t="s">
        <v>21</v>
      </c>
      <c r="I135" t="s">
        <v>22</v>
      </c>
      <c r="J135">
        <v>1313125200</v>
      </c>
      <c r="K135">
        <v>1315026000</v>
      </c>
      <c r="L135" t="b">
        <v>0</v>
      </c>
      <c r="M135" t="b">
        <v>0</v>
      </c>
      <c r="N135" t="s">
        <v>319</v>
      </c>
      <c r="O135" s="4">
        <f t="shared" si="6"/>
        <v>0.32177332856632107</v>
      </c>
      <c r="P135" t="str">
        <f t="shared" si="7"/>
        <v>music</v>
      </c>
      <c r="Q135" t="str">
        <f t="shared" si="8"/>
        <v>world music</v>
      </c>
    </row>
    <row r="136" spans="1:17" x14ac:dyDescent="0.3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t="s">
        <v>14</v>
      </c>
      <c r="G136">
        <v>940</v>
      </c>
      <c r="H136" t="s">
        <v>98</v>
      </c>
      <c r="I136" t="s">
        <v>99</v>
      </c>
      <c r="J136">
        <v>1308459600</v>
      </c>
      <c r="K136">
        <v>1312693200</v>
      </c>
      <c r="L136" t="b">
        <v>0</v>
      </c>
      <c r="M136" t="b">
        <v>1</v>
      </c>
      <c r="N136" t="s">
        <v>42</v>
      </c>
      <c r="O136" s="4">
        <f t="shared" si="6"/>
        <v>1.1143714720903144</v>
      </c>
      <c r="P136" t="str">
        <f t="shared" si="7"/>
        <v>film &amp; video</v>
      </c>
      <c r="Q136" t="str">
        <f t="shared" si="8"/>
        <v>documentary</v>
      </c>
    </row>
    <row r="137" spans="1:17" x14ac:dyDescent="0.3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t="s">
        <v>14</v>
      </c>
      <c r="G137">
        <v>117</v>
      </c>
      <c r="H137" t="s">
        <v>21</v>
      </c>
      <c r="I137" t="s">
        <v>22</v>
      </c>
      <c r="J137">
        <v>1362636000</v>
      </c>
      <c r="K137">
        <v>1363064400</v>
      </c>
      <c r="L137" t="b">
        <v>0</v>
      </c>
      <c r="M137" t="b">
        <v>1</v>
      </c>
      <c r="N137" t="s">
        <v>33</v>
      </c>
      <c r="O137" s="4">
        <f t="shared" si="6"/>
        <v>1.403061224489796</v>
      </c>
      <c r="P137" t="str">
        <f t="shared" si="7"/>
        <v>theater</v>
      </c>
      <c r="Q137" t="str">
        <f t="shared" si="8"/>
        <v>plays</v>
      </c>
    </row>
    <row r="138" spans="1:17" ht="31.2" x14ac:dyDescent="0.3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t="s">
        <v>74</v>
      </c>
      <c r="G138">
        <v>58</v>
      </c>
      <c r="H138" t="s">
        <v>21</v>
      </c>
      <c r="I138" t="s">
        <v>22</v>
      </c>
      <c r="J138">
        <v>1402117200</v>
      </c>
      <c r="K138">
        <v>1403154000</v>
      </c>
      <c r="L138" t="b">
        <v>0</v>
      </c>
      <c r="M138" t="b">
        <v>1</v>
      </c>
      <c r="N138" t="s">
        <v>53</v>
      </c>
      <c r="O138" s="4">
        <f t="shared" si="6"/>
        <v>30.429988974641677</v>
      </c>
      <c r="P138" t="str">
        <f t="shared" si="7"/>
        <v>film &amp; video</v>
      </c>
      <c r="Q138" t="str">
        <f t="shared" si="8"/>
        <v>drama</v>
      </c>
    </row>
    <row r="139" spans="1:17" x14ac:dyDescent="0.3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t="s">
        <v>20</v>
      </c>
      <c r="G139">
        <v>50</v>
      </c>
      <c r="H139" t="s">
        <v>21</v>
      </c>
      <c r="I139" t="s">
        <v>22</v>
      </c>
      <c r="J139">
        <v>1286341200</v>
      </c>
      <c r="K139">
        <v>1286859600</v>
      </c>
      <c r="L139" t="b">
        <v>0</v>
      </c>
      <c r="M139" t="b">
        <v>0</v>
      </c>
      <c r="N139" t="s">
        <v>68</v>
      </c>
      <c r="O139" s="4">
        <f t="shared" si="6"/>
        <v>0.38200339558573854</v>
      </c>
      <c r="P139" t="str">
        <f t="shared" si="7"/>
        <v>publishing</v>
      </c>
      <c r="Q139" t="str">
        <f t="shared" si="8"/>
        <v>nonfiction</v>
      </c>
    </row>
    <row r="140" spans="1:17" ht="31.2" x14ac:dyDescent="0.3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t="s">
        <v>14</v>
      </c>
      <c r="G140">
        <v>115</v>
      </c>
      <c r="H140" t="s">
        <v>21</v>
      </c>
      <c r="I140" t="s">
        <v>22</v>
      </c>
      <c r="J140">
        <v>1348808400</v>
      </c>
      <c r="K140">
        <v>1349326800</v>
      </c>
      <c r="L140" t="b">
        <v>0</v>
      </c>
      <c r="M140" t="b">
        <v>0</v>
      </c>
      <c r="N140" t="s">
        <v>292</v>
      </c>
      <c r="O140" s="4">
        <f t="shared" si="6"/>
        <v>1.0416666666666667</v>
      </c>
      <c r="P140" t="str">
        <f t="shared" si="7"/>
        <v>games</v>
      </c>
      <c r="Q140" t="str">
        <f t="shared" si="8"/>
        <v>mobile games</v>
      </c>
    </row>
    <row r="141" spans="1:17" x14ac:dyDescent="0.3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t="s">
        <v>14</v>
      </c>
      <c r="G141">
        <v>326</v>
      </c>
      <c r="H141" t="s">
        <v>21</v>
      </c>
      <c r="I141" t="s">
        <v>22</v>
      </c>
      <c r="J141">
        <v>1429592400</v>
      </c>
      <c r="K141">
        <v>1430974800</v>
      </c>
      <c r="L141" t="b">
        <v>0</v>
      </c>
      <c r="M141" t="b">
        <v>1</v>
      </c>
      <c r="N141" t="s">
        <v>65</v>
      </c>
      <c r="O141" s="4">
        <f t="shared" si="6"/>
        <v>4.7854099553153899</v>
      </c>
      <c r="P141" t="str">
        <f t="shared" si="7"/>
        <v>technology</v>
      </c>
      <c r="Q141" t="str">
        <f t="shared" si="8"/>
        <v>wearables</v>
      </c>
    </row>
    <row r="142" spans="1:17" ht="31.2" x14ac:dyDescent="0.3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t="s">
        <v>20</v>
      </c>
      <c r="G142">
        <v>186</v>
      </c>
      <c r="H142" t="s">
        <v>21</v>
      </c>
      <c r="I142" t="s">
        <v>22</v>
      </c>
      <c r="J142">
        <v>1519538400</v>
      </c>
      <c r="K142">
        <v>1519970400</v>
      </c>
      <c r="L142" t="b">
        <v>0</v>
      </c>
      <c r="M142" t="b">
        <v>0</v>
      </c>
      <c r="N142" t="s">
        <v>42</v>
      </c>
      <c r="O142" s="4">
        <f t="shared" si="6"/>
        <v>0.44810167834446796</v>
      </c>
      <c r="P142" t="str">
        <f t="shared" si="7"/>
        <v>film &amp; video</v>
      </c>
      <c r="Q142" t="str">
        <f t="shared" si="8"/>
        <v>documentary</v>
      </c>
    </row>
    <row r="143" spans="1:17" x14ac:dyDescent="0.3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t="s">
        <v>20</v>
      </c>
      <c r="G143">
        <v>1071</v>
      </c>
      <c r="H143" t="s">
        <v>21</v>
      </c>
      <c r="I143" t="s">
        <v>22</v>
      </c>
      <c r="J143">
        <v>1434085200</v>
      </c>
      <c r="K143">
        <v>1434603600</v>
      </c>
      <c r="L143" t="b">
        <v>0</v>
      </c>
      <c r="M143" t="b">
        <v>0</v>
      </c>
      <c r="N143" t="s">
        <v>28</v>
      </c>
      <c r="O143" s="4">
        <f t="shared" si="6"/>
        <v>0.98433935979670251</v>
      </c>
      <c r="P143" t="str">
        <f t="shared" si="7"/>
        <v>technology</v>
      </c>
      <c r="Q143" t="str">
        <f t="shared" si="8"/>
        <v>web</v>
      </c>
    </row>
    <row r="144" spans="1:17" ht="31.2" x14ac:dyDescent="0.3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t="s">
        <v>20</v>
      </c>
      <c r="G144">
        <v>117</v>
      </c>
      <c r="H144" t="s">
        <v>21</v>
      </c>
      <c r="I144" t="s">
        <v>22</v>
      </c>
      <c r="J144">
        <v>1333688400</v>
      </c>
      <c r="K144">
        <v>1337230800</v>
      </c>
      <c r="L144" t="b">
        <v>0</v>
      </c>
      <c r="M144" t="b">
        <v>0</v>
      </c>
      <c r="N144" t="s">
        <v>28</v>
      </c>
      <c r="O144" s="4">
        <f t="shared" si="6"/>
        <v>0.43470700747696051</v>
      </c>
      <c r="P144" t="str">
        <f t="shared" si="7"/>
        <v>technology</v>
      </c>
      <c r="Q144" t="str">
        <f t="shared" si="8"/>
        <v>web</v>
      </c>
    </row>
    <row r="145" spans="1:17" x14ac:dyDescent="0.3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t="s">
        <v>20</v>
      </c>
      <c r="G145">
        <v>70</v>
      </c>
      <c r="H145" t="s">
        <v>21</v>
      </c>
      <c r="I145" t="s">
        <v>22</v>
      </c>
      <c r="J145">
        <v>1277701200</v>
      </c>
      <c r="K145">
        <v>1279429200</v>
      </c>
      <c r="L145" t="b">
        <v>0</v>
      </c>
      <c r="M145" t="b">
        <v>0</v>
      </c>
      <c r="N145" t="s">
        <v>60</v>
      </c>
      <c r="O145" s="4">
        <f t="shared" si="6"/>
        <v>0.73750341436765909</v>
      </c>
      <c r="P145" t="str">
        <f t="shared" si="7"/>
        <v>music</v>
      </c>
      <c r="Q145" t="str">
        <f t="shared" si="8"/>
        <v>indie rock</v>
      </c>
    </row>
    <row r="146" spans="1:17" x14ac:dyDescent="0.3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t="s">
        <v>20</v>
      </c>
      <c r="G146">
        <v>135</v>
      </c>
      <c r="H146" t="s">
        <v>21</v>
      </c>
      <c r="I146" t="s">
        <v>22</v>
      </c>
      <c r="J146">
        <v>1560747600</v>
      </c>
      <c r="K146">
        <v>1561438800</v>
      </c>
      <c r="L146" t="b">
        <v>0</v>
      </c>
      <c r="M146" t="b">
        <v>0</v>
      </c>
      <c r="N146" t="s">
        <v>33</v>
      </c>
      <c r="O146" s="4">
        <f t="shared" si="6"/>
        <v>0.77459333849728895</v>
      </c>
      <c r="P146" t="str">
        <f t="shared" si="7"/>
        <v>theater</v>
      </c>
      <c r="Q146" t="str">
        <f t="shared" si="8"/>
        <v>plays</v>
      </c>
    </row>
    <row r="147" spans="1:17" x14ac:dyDescent="0.3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t="s">
        <v>20</v>
      </c>
      <c r="G147">
        <v>768</v>
      </c>
      <c r="H147" t="s">
        <v>98</v>
      </c>
      <c r="I147" t="s">
        <v>99</v>
      </c>
      <c r="J147">
        <v>1410066000</v>
      </c>
      <c r="K147">
        <v>1410498000</v>
      </c>
      <c r="L147" t="b">
        <v>0</v>
      </c>
      <c r="M147" t="b">
        <v>0</v>
      </c>
      <c r="N147" t="s">
        <v>65</v>
      </c>
      <c r="O147" s="4">
        <f t="shared" si="6"/>
        <v>0.42281152753348666</v>
      </c>
      <c r="P147" t="str">
        <f t="shared" si="7"/>
        <v>technology</v>
      </c>
      <c r="Q147" t="str">
        <f t="shared" si="8"/>
        <v>wearables</v>
      </c>
    </row>
    <row r="148" spans="1:17" ht="31.2" x14ac:dyDescent="0.3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t="s">
        <v>74</v>
      </c>
      <c r="G148">
        <v>51</v>
      </c>
      <c r="H148" t="s">
        <v>21</v>
      </c>
      <c r="I148" t="s">
        <v>22</v>
      </c>
      <c r="J148">
        <v>1320732000</v>
      </c>
      <c r="K148">
        <v>1322460000</v>
      </c>
      <c r="L148" t="b">
        <v>0</v>
      </c>
      <c r="M148" t="b">
        <v>0</v>
      </c>
      <c r="N148" t="s">
        <v>33</v>
      </c>
      <c r="O148" s="4">
        <f t="shared" si="6"/>
        <v>5.7971014492753623</v>
      </c>
      <c r="P148" t="str">
        <f t="shared" si="7"/>
        <v>theater</v>
      </c>
      <c r="Q148" t="str">
        <f t="shared" si="8"/>
        <v>plays</v>
      </c>
    </row>
    <row r="149" spans="1:17" ht="31.2" x14ac:dyDescent="0.3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t="s">
        <v>20</v>
      </c>
      <c r="G149">
        <v>199</v>
      </c>
      <c r="H149" t="s">
        <v>21</v>
      </c>
      <c r="I149" t="s">
        <v>22</v>
      </c>
      <c r="J149">
        <v>1465794000</v>
      </c>
      <c r="K149">
        <v>1466312400</v>
      </c>
      <c r="L149" t="b">
        <v>0</v>
      </c>
      <c r="M149" t="b">
        <v>1</v>
      </c>
      <c r="N149" t="s">
        <v>33</v>
      </c>
      <c r="O149" s="4">
        <f t="shared" si="6"/>
        <v>0.88893648923637147</v>
      </c>
      <c r="P149" t="str">
        <f t="shared" si="7"/>
        <v>theater</v>
      </c>
      <c r="Q149" t="str">
        <f t="shared" si="8"/>
        <v>plays</v>
      </c>
    </row>
    <row r="150" spans="1:17" x14ac:dyDescent="0.3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t="s">
        <v>20</v>
      </c>
      <c r="G150">
        <v>107</v>
      </c>
      <c r="H150" t="s">
        <v>21</v>
      </c>
      <c r="I150" t="s">
        <v>22</v>
      </c>
      <c r="J150">
        <v>1500958800</v>
      </c>
      <c r="K150">
        <v>1501736400</v>
      </c>
      <c r="L150" t="b">
        <v>0</v>
      </c>
      <c r="M150" t="b">
        <v>0</v>
      </c>
      <c r="N150" t="s">
        <v>65</v>
      </c>
      <c r="O150" s="4">
        <f t="shared" si="6"/>
        <v>0.82629942247889832</v>
      </c>
      <c r="P150" t="str">
        <f t="shared" si="7"/>
        <v>technology</v>
      </c>
      <c r="Q150" t="str">
        <f t="shared" si="8"/>
        <v>wearables</v>
      </c>
    </row>
    <row r="151" spans="1:17" x14ac:dyDescent="0.3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t="s">
        <v>20</v>
      </c>
      <c r="G151">
        <v>195</v>
      </c>
      <c r="H151" t="s">
        <v>21</v>
      </c>
      <c r="I151" t="s">
        <v>22</v>
      </c>
      <c r="J151">
        <v>1357020000</v>
      </c>
      <c r="K151">
        <v>1361512800</v>
      </c>
      <c r="L151" t="b">
        <v>0</v>
      </c>
      <c r="M151" t="b">
        <v>0</v>
      </c>
      <c r="N151" t="s">
        <v>60</v>
      </c>
      <c r="O151" s="4">
        <f t="shared" si="6"/>
        <v>0.45481220657276994</v>
      </c>
      <c r="P151" t="str">
        <f t="shared" si="7"/>
        <v>music</v>
      </c>
      <c r="Q151" t="str">
        <f t="shared" si="8"/>
        <v>indie rock</v>
      </c>
    </row>
    <row r="152" spans="1:17" x14ac:dyDescent="0.3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t="s">
        <v>14</v>
      </c>
      <c r="G152">
        <v>1</v>
      </c>
      <c r="H152" t="s">
        <v>21</v>
      </c>
      <c r="I152" t="s">
        <v>22</v>
      </c>
      <c r="J152">
        <v>1544940000</v>
      </c>
      <c r="K152">
        <v>1545026400</v>
      </c>
      <c r="L152" t="b">
        <v>0</v>
      </c>
      <c r="M152" t="b">
        <v>0</v>
      </c>
      <c r="N152" t="s">
        <v>23</v>
      </c>
      <c r="O152" s="4">
        <f t="shared" si="6"/>
        <v>100</v>
      </c>
      <c r="P152" t="str">
        <f t="shared" si="7"/>
        <v>music</v>
      </c>
      <c r="Q152" t="str">
        <f t="shared" si="8"/>
        <v>rock</v>
      </c>
    </row>
    <row r="153" spans="1:17" x14ac:dyDescent="0.3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t="s">
        <v>14</v>
      </c>
      <c r="G153">
        <v>1467</v>
      </c>
      <c r="H153" t="s">
        <v>21</v>
      </c>
      <c r="I153" t="s">
        <v>22</v>
      </c>
      <c r="J153">
        <v>1402290000</v>
      </c>
      <c r="K153">
        <v>1406696400</v>
      </c>
      <c r="L153" t="b">
        <v>0</v>
      </c>
      <c r="M153" t="b">
        <v>0</v>
      </c>
      <c r="N153" t="s">
        <v>50</v>
      </c>
      <c r="O153" s="4">
        <f t="shared" si="6"/>
        <v>1.558435657734816</v>
      </c>
      <c r="P153" t="str">
        <f t="shared" si="7"/>
        <v>music</v>
      </c>
      <c r="Q153" t="str">
        <f t="shared" si="8"/>
        <v>electric music</v>
      </c>
    </row>
    <row r="154" spans="1:17" x14ac:dyDescent="0.3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t="s">
        <v>20</v>
      </c>
      <c r="G154">
        <v>3376</v>
      </c>
      <c r="H154" t="s">
        <v>21</v>
      </c>
      <c r="I154" t="s">
        <v>22</v>
      </c>
      <c r="J154">
        <v>1487311200</v>
      </c>
      <c r="K154">
        <v>1487916000</v>
      </c>
      <c r="L154" t="b">
        <v>0</v>
      </c>
      <c r="M154" t="b">
        <v>0</v>
      </c>
      <c r="N154" t="s">
        <v>60</v>
      </c>
      <c r="O154" s="4">
        <f t="shared" si="6"/>
        <v>0.23636891777209479</v>
      </c>
      <c r="P154" t="str">
        <f t="shared" si="7"/>
        <v>music</v>
      </c>
      <c r="Q154" t="str">
        <f t="shared" si="8"/>
        <v>indie rock</v>
      </c>
    </row>
    <row r="155" spans="1:17" x14ac:dyDescent="0.3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t="s">
        <v>14</v>
      </c>
      <c r="G155">
        <v>5681</v>
      </c>
      <c r="H155" t="s">
        <v>21</v>
      </c>
      <c r="I155" t="s">
        <v>22</v>
      </c>
      <c r="J155">
        <v>1350622800</v>
      </c>
      <c r="K155">
        <v>1351141200</v>
      </c>
      <c r="L155" t="b">
        <v>0</v>
      </c>
      <c r="M155" t="b">
        <v>0</v>
      </c>
      <c r="N155" t="s">
        <v>33</v>
      </c>
      <c r="O155" s="4">
        <f t="shared" si="6"/>
        <v>1.0754519851003908</v>
      </c>
      <c r="P155" t="str">
        <f t="shared" si="7"/>
        <v>theater</v>
      </c>
      <c r="Q155" t="str">
        <f t="shared" si="8"/>
        <v>plays</v>
      </c>
    </row>
    <row r="156" spans="1:17" x14ac:dyDescent="0.3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t="s">
        <v>14</v>
      </c>
      <c r="G156">
        <v>1059</v>
      </c>
      <c r="H156" t="s">
        <v>21</v>
      </c>
      <c r="I156" t="s">
        <v>22</v>
      </c>
      <c r="J156">
        <v>1463029200</v>
      </c>
      <c r="K156">
        <v>1465016400</v>
      </c>
      <c r="L156" t="b">
        <v>0</v>
      </c>
      <c r="M156" t="b">
        <v>1</v>
      </c>
      <c r="N156" t="s">
        <v>60</v>
      </c>
      <c r="O156" s="4">
        <f t="shared" si="6"/>
        <v>1.7019374068554396</v>
      </c>
      <c r="P156" t="str">
        <f t="shared" si="7"/>
        <v>music</v>
      </c>
      <c r="Q156" t="str">
        <f t="shared" si="8"/>
        <v>indie rock</v>
      </c>
    </row>
    <row r="157" spans="1:17" x14ac:dyDescent="0.3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t="s">
        <v>14</v>
      </c>
      <c r="G157">
        <v>1194</v>
      </c>
      <c r="H157" t="s">
        <v>21</v>
      </c>
      <c r="I157" t="s">
        <v>22</v>
      </c>
      <c r="J157">
        <v>1269493200</v>
      </c>
      <c r="K157">
        <v>1270789200</v>
      </c>
      <c r="L157" t="b">
        <v>0</v>
      </c>
      <c r="M157" t="b">
        <v>0</v>
      </c>
      <c r="N157" t="s">
        <v>33</v>
      </c>
      <c r="O157" s="4">
        <f t="shared" si="6"/>
        <v>1.5379357484620642</v>
      </c>
      <c r="P157" t="str">
        <f t="shared" si="7"/>
        <v>theater</v>
      </c>
      <c r="Q157" t="str">
        <f t="shared" si="8"/>
        <v>plays</v>
      </c>
    </row>
    <row r="158" spans="1:17" x14ac:dyDescent="0.3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t="s">
        <v>74</v>
      </c>
      <c r="G158">
        <v>379</v>
      </c>
      <c r="H158" t="s">
        <v>26</v>
      </c>
      <c r="I158" t="s">
        <v>27</v>
      </c>
      <c r="J158">
        <v>1570251600</v>
      </c>
      <c r="K158">
        <v>1572325200</v>
      </c>
      <c r="L158" t="b">
        <v>0</v>
      </c>
      <c r="M158" t="b">
        <v>0</v>
      </c>
      <c r="N158" t="s">
        <v>23</v>
      </c>
      <c r="O158" s="4">
        <f t="shared" si="6"/>
        <v>1.3524559708701791</v>
      </c>
      <c r="P158" t="str">
        <f t="shared" si="7"/>
        <v>music</v>
      </c>
      <c r="Q158" t="str">
        <f t="shared" si="8"/>
        <v>rock</v>
      </c>
    </row>
    <row r="159" spans="1:17" x14ac:dyDescent="0.3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t="s">
        <v>14</v>
      </c>
      <c r="G159">
        <v>30</v>
      </c>
      <c r="H159" t="s">
        <v>26</v>
      </c>
      <c r="I159" t="s">
        <v>27</v>
      </c>
      <c r="J159">
        <v>1388383200</v>
      </c>
      <c r="K159">
        <v>1389420000</v>
      </c>
      <c r="L159" t="b">
        <v>0</v>
      </c>
      <c r="M159" t="b">
        <v>0</v>
      </c>
      <c r="N159" t="s">
        <v>122</v>
      </c>
      <c r="O159" s="4">
        <f t="shared" si="6"/>
        <v>1.8987341772151898</v>
      </c>
      <c r="P159" t="str">
        <f t="shared" si="7"/>
        <v>photography</v>
      </c>
      <c r="Q159" t="str">
        <f t="shared" si="8"/>
        <v>photography books</v>
      </c>
    </row>
    <row r="160" spans="1:17" x14ac:dyDescent="0.3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t="s">
        <v>20</v>
      </c>
      <c r="G160">
        <v>41</v>
      </c>
      <c r="H160" t="s">
        <v>21</v>
      </c>
      <c r="I160" t="s">
        <v>22</v>
      </c>
      <c r="J160">
        <v>1449554400</v>
      </c>
      <c r="K160">
        <v>1449640800</v>
      </c>
      <c r="L160" t="b">
        <v>0</v>
      </c>
      <c r="M160" t="b">
        <v>0</v>
      </c>
      <c r="N160" t="s">
        <v>23</v>
      </c>
      <c r="O160" s="4">
        <f t="shared" si="6"/>
        <v>0.45258620689655171</v>
      </c>
      <c r="P160" t="str">
        <f t="shared" si="7"/>
        <v>music</v>
      </c>
      <c r="Q160" t="str">
        <f t="shared" si="8"/>
        <v>rock</v>
      </c>
    </row>
    <row r="161" spans="1:17" x14ac:dyDescent="0.3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t="s">
        <v>20</v>
      </c>
      <c r="G161">
        <v>1821</v>
      </c>
      <c r="H161" t="s">
        <v>21</v>
      </c>
      <c r="I161" t="s">
        <v>22</v>
      </c>
      <c r="J161">
        <v>1553662800</v>
      </c>
      <c r="K161">
        <v>1555218000</v>
      </c>
      <c r="L161" t="b">
        <v>0</v>
      </c>
      <c r="M161" t="b">
        <v>1</v>
      </c>
      <c r="N161" t="s">
        <v>33</v>
      </c>
      <c r="O161" s="4">
        <f t="shared" si="6"/>
        <v>0.99988495047640957</v>
      </c>
      <c r="P161" t="str">
        <f t="shared" si="7"/>
        <v>theater</v>
      </c>
      <c r="Q161" t="str">
        <f t="shared" si="8"/>
        <v>plays</v>
      </c>
    </row>
    <row r="162" spans="1:17" x14ac:dyDescent="0.3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t="s">
        <v>20</v>
      </c>
      <c r="G162">
        <v>164</v>
      </c>
      <c r="H162" t="s">
        <v>21</v>
      </c>
      <c r="I162" t="s">
        <v>22</v>
      </c>
      <c r="J162">
        <v>1556341200</v>
      </c>
      <c r="K162">
        <v>1557723600</v>
      </c>
      <c r="L162" t="b">
        <v>0</v>
      </c>
      <c r="M162" t="b">
        <v>0</v>
      </c>
      <c r="N162" t="s">
        <v>65</v>
      </c>
      <c r="O162" s="4">
        <f t="shared" si="6"/>
        <v>0.61609549480169423</v>
      </c>
      <c r="P162" t="str">
        <f t="shared" si="7"/>
        <v>technology</v>
      </c>
      <c r="Q162" t="str">
        <f t="shared" si="8"/>
        <v>wearables</v>
      </c>
    </row>
    <row r="163" spans="1:17" ht="31.2" x14ac:dyDescent="0.3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t="s">
        <v>14</v>
      </c>
      <c r="G163">
        <v>75</v>
      </c>
      <c r="H163" t="s">
        <v>21</v>
      </c>
      <c r="I163" t="s">
        <v>22</v>
      </c>
      <c r="J163">
        <v>1442984400</v>
      </c>
      <c r="K163">
        <v>1443502800</v>
      </c>
      <c r="L163" t="b">
        <v>0</v>
      </c>
      <c r="M163" t="b">
        <v>1</v>
      </c>
      <c r="N163" t="s">
        <v>28</v>
      </c>
      <c r="O163" s="4">
        <f t="shared" si="6"/>
        <v>1.2790697674418605</v>
      </c>
      <c r="P163" t="str">
        <f t="shared" si="7"/>
        <v>technology</v>
      </c>
      <c r="Q163" t="str">
        <f t="shared" si="8"/>
        <v>web</v>
      </c>
    </row>
    <row r="164" spans="1:17" ht="31.2" x14ac:dyDescent="0.3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t="s">
        <v>20</v>
      </c>
      <c r="G164">
        <v>157</v>
      </c>
      <c r="H164" t="s">
        <v>98</v>
      </c>
      <c r="I164" t="s">
        <v>99</v>
      </c>
      <c r="J164">
        <v>1544248800</v>
      </c>
      <c r="K164">
        <v>1546840800</v>
      </c>
      <c r="L164" t="b">
        <v>0</v>
      </c>
      <c r="M164" t="b">
        <v>0</v>
      </c>
      <c r="N164" t="s">
        <v>23</v>
      </c>
      <c r="O164" s="4">
        <f t="shared" si="6"/>
        <v>0.66783446463761764</v>
      </c>
      <c r="P164" t="str">
        <f t="shared" si="7"/>
        <v>music</v>
      </c>
      <c r="Q164" t="str">
        <f t="shared" si="8"/>
        <v>rock</v>
      </c>
    </row>
    <row r="165" spans="1:17" x14ac:dyDescent="0.3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t="s">
        <v>20</v>
      </c>
      <c r="G165">
        <v>246</v>
      </c>
      <c r="H165" t="s">
        <v>21</v>
      </c>
      <c r="I165" t="s">
        <v>22</v>
      </c>
      <c r="J165">
        <v>1508475600</v>
      </c>
      <c r="K165">
        <v>1512712800</v>
      </c>
      <c r="L165" t="b">
        <v>0</v>
      </c>
      <c r="M165" t="b">
        <v>1</v>
      </c>
      <c r="N165" t="s">
        <v>122</v>
      </c>
      <c r="O165" s="4">
        <f t="shared" si="6"/>
        <v>0.39485559566787004</v>
      </c>
      <c r="P165" t="str">
        <f t="shared" si="7"/>
        <v>photography</v>
      </c>
      <c r="Q165" t="str">
        <f t="shared" si="8"/>
        <v>photography books</v>
      </c>
    </row>
    <row r="166" spans="1:17" x14ac:dyDescent="0.3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t="s">
        <v>20</v>
      </c>
      <c r="G166">
        <v>1396</v>
      </c>
      <c r="H166" t="s">
        <v>21</v>
      </c>
      <c r="I166" t="s">
        <v>22</v>
      </c>
      <c r="J166">
        <v>1507438800</v>
      </c>
      <c r="K166">
        <v>1507525200</v>
      </c>
      <c r="L166" t="b">
        <v>0</v>
      </c>
      <c r="M166" t="b">
        <v>0</v>
      </c>
      <c r="N166" t="s">
        <v>33</v>
      </c>
      <c r="O166" s="4">
        <f t="shared" si="6"/>
        <v>0.99830851381380381</v>
      </c>
      <c r="P166" t="str">
        <f t="shared" si="7"/>
        <v>theater</v>
      </c>
      <c r="Q166" t="str">
        <f t="shared" si="8"/>
        <v>plays</v>
      </c>
    </row>
    <row r="167" spans="1:17" x14ac:dyDescent="0.3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t="s">
        <v>20</v>
      </c>
      <c r="G167">
        <v>2506</v>
      </c>
      <c r="H167" t="s">
        <v>21</v>
      </c>
      <c r="I167" t="s">
        <v>22</v>
      </c>
      <c r="J167">
        <v>1501563600</v>
      </c>
      <c r="K167">
        <v>1504328400</v>
      </c>
      <c r="L167" t="b">
        <v>0</v>
      </c>
      <c r="M167" t="b">
        <v>0</v>
      </c>
      <c r="N167" t="s">
        <v>28</v>
      </c>
      <c r="O167" s="4">
        <f t="shared" si="6"/>
        <v>0.81973902556243705</v>
      </c>
      <c r="P167" t="str">
        <f t="shared" si="7"/>
        <v>technology</v>
      </c>
      <c r="Q167" t="str">
        <f t="shared" si="8"/>
        <v>web</v>
      </c>
    </row>
    <row r="168" spans="1:17" x14ac:dyDescent="0.3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t="s">
        <v>20</v>
      </c>
      <c r="G168">
        <v>244</v>
      </c>
      <c r="H168" t="s">
        <v>21</v>
      </c>
      <c r="I168" t="s">
        <v>22</v>
      </c>
      <c r="J168">
        <v>1292997600</v>
      </c>
      <c r="K168">
        <v>1293343200</v>
      </c>
      <c r="L168" t="b">
        <v>0</v>
      </c>
      <c r="M168" t="b">
        <v>0</v>
      </c>
      <c r="N168" t="s">
        <v>122</v>
      </c>
      <c r="O168" s="4">
        <f t="shared" si="6"/>
        <v>0.72922092417590589</v>
      </c>
      <c r="P168" t="str">
        <f t="shared" si="7"/>
        <v>photography</v>
      </c>
      <c r="Q168" t="str">
        <f t="shared" si="8"/>
        <v>photography books</v>
      </c>
    </row>
    <row r="169" spans="1:17" x14ac:dyDescent="0.3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t="s">
        <v>20</v>
      </c>
      <c r="G169">
        <v>146</v>
      </c>
      <c r="H169" t="s">
        <v>26</v>
      </c>
      <c r="I169" t="s">
        <v>27</v>
      </c>
      <c r="J169">
        <v>1370840400</v>
      </c>
      <c r="K169">
        <v>1371704400</v>
      </c>
      <c r="L169" t="b">
        <v>0</v>
      </c>
      <c r="M169" t="b">
        <v>0</v>
      </c>
      <c r="N169" t="s">
        <v>33</v>
      </c>
      <c r="O169" s="4">
        <f t="shared" si="6"/>
        <v>0.24065161051462422</v>
      </c>
      <c r="P169" t="str">
        <f t="shared" si="7"/>
        <v>theater</v>
      </c>
      <c r="Q169" t="str">
        <f t="shared" si="8"/>
        <v>plays</v>
      </c>
    </row>
    <row r="170" spans="1:17" x14ac:dyDescent="0.3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t="s">
        <v>14</v>
      </c>
      <c r="G170">
        <v>955</v>
      </c>
      <c r="H170" t="s">
        <v>36</v>
      </c>
      <c r="I170" t="s">
        <v>37</v>
      </c>
      <c r="J170">
        <v>1550815200</v>
      </c>
      <c r="K170">
        <v>1552798800</v>
      </c>
      <c r="L170" t="b">
        <v>0</v>
      </c>
      <c r="M170" t="b">
        <v>1</v>
      </c>
      <c r="N170" t="s">
        <v>60</v>
      </c>
      <c r="O170" s="4">
        <f t="shared" si="6"/>
        <v>3.1939561672525993</v>
      </c>
      <c r="P170" t="str">
        <f t="shared" si="7"/>
        <v>music</v>
      </c>
      <c r="Q170" t="str">
        <f t="shared" si="8"/>
        <v>indie rock</v>
      </c>
    </row>
    <row r="171" spans="1:17" x14ac:dyDescent="0.3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t="s">
        <v>20</v>
      </c>
      <c r="G171">
        <v>1267</v>
      </c>
      <c r="H171" t="s">
        <v>21</v>
      </c>
      <c r="I171" t="s">
        <v>22</v>
      </c>
      <c r="J171">
        <v>1339909200</v>
      </c>
      <c r="K171">
        <v>1342328400</v>
      </c>
      <c r="L171" t="b">
        <v>0</v>
      </c>
      <c r="M171" t="b">
        <v>1</v>
      </c>
      <c r="N171" t="s">
        <v>100</v>
      </c>
      <c r="O171" s="4">
        <f t="shared" si="6"/>
        <v>0.23580370606511422</v>
      </c>
      <c r="P171" t="str">
        <f t="shared" si="7"/>
        <v>film &amp; video</v>
      </c>
      <c r="Q171" t="str">
        <f t="shared" si="8"/>
        <v>shorts</v>
      </c>
    </row>
    <row r="172" spans="1:17" x14ac:dyDescent="0.3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t="s">
        <v>14</v>
      </c>
      <c r="G172">
        <v>67</v>
      </c>
      <c r="H172" t="s">
        <v>21</v>
      </c>
      <c r="I172" t="s">
        <v>22</v>
      </c>
      <c r="J172">
        <v>1501736400</v>
      </c>
      <c r="K172">
        <v>1502341200</v>
      </c>
      <c r="L172" t="b">
        <v>0</v>
      </c>
      <c r="M172" t="b">
        <v>0</v>
      </c>
      <c r="N172" t="s">
        <v>60</v>
      </c>
      <c r="O172" s="4">
        <f t="shared" si="6"/>
        <v>34.026772793053546</v>
      </c>
      <c r="P172" t="str">
        <f t="shared" si="7"/>
        <v>music</v>
      </c>
      <c r="Q172" t="str">
        <f t="shared" si="8"/>
        <v>indie rock</v>
      </c>
    </row>
    <row r="173" spans="1:17" ht="31.2" x14ac:dyDescent="0.3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t="s">
        <v>14</v>
      </c>
      <c r="G173">
        <v>5</v>
      </c>
      <c r="H173" t="s">
        <v>21</v>
      </c>
      <c r="I173" t="s">
        <v>22</v>
      </c>
      <c r="J173">
        <v>1395291600</v>
      </c>
      <c r="K173">
        <v>1397192400</v>
      </c>
      <c r="L173" t="b">
        <v>0</v>
      </c>
      <c r="M173" t="b">
        <v>0</v>
      </c>
      <c r="N173" t="s">
        <v>206</v>
      </c>
      <c r="O173" s="4">
        <f t="shared" si="6"/>
        <v>9.4049904030710181</v>
      </c>
      <c r="P173" t="str">
        <f t="shared" si="7"/>
        <v>publishing</v>
      </c>
      <c r="Q173" t="str">
        <f t="shared" si="8"/>
        <v>translations</v>
      </c>
    </row>
    <row r="174" spans="1:17" x14ac:dyDescent="0.3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t="s">
        <v>14</v>
      </c>
      <c r="G174">
        <v>26</v>
      </c>
      <c r="H174" t="s">
        <v>21</v>
      </c>
      <c r="I174" t="s">
        <v>22</v>
      </c>
      <c r="J174">
        <v>1405746000</v>
      </c>
      <c r="K174">
        <v>1407042000</v>
      </c>
      <c r="L174" t="b">
        <v>0</v>
      </c>
      <c r="M174" t="b">
        <v>1</v>
      </c>
      <c r="N174" t="s">
        <v>42</v>
      </c>
      <c r="O174" s="4">
        <f t="shared" si="6"/>
        <v>1.2066365007541477</v>
      </c>
      <c r="P174" t="str">
        <f t="shared" si="7"/>
        <v>film &amp; video</v>
      </c>
      <c r="Q174" t="str">
        <f t="shared" si="8"/>
        <v>documentary</v>
      </c>
    </row>
    <row r="175" spans="1:17" ht="31.2" x14ac:dyDescent="0.3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t="s">
        <v>20</v>
      </c>
      <c r="G175">
        <v>1561</v>
      </c>
      <c r="H175" t="s">
        <v>21</v>
      </c>
      <c r="I175" t="s">
        <v>22</v>
      </c>
      <c r="J175">
        <v>1368853200</v>
      </c>
      <c r="K175">
        <v>1369371600</v>
      </c>
      <c r="L175" t="b">
        <v>0</v>
      </c>
      <c r="M175" t="b">
        <v>0</v>
      </c>
      <c r="N175" t="s">
        <v>33</v>
      </c>
      <c r="O175" s="4">
        <f t="shared" si="6"/>
        <v>0.61344244615726207</v>
      </c>
      <c r="P175" t="str">
        <f t="shared" si="7"/>
        <v>theater</v>
      </c>
      <c r="Q175" t="str">
        <f t="shared" si="8"/>
        <v>plays</v>
      </c>
    </row>
    <row r="176" spans="1:17" x14ac:dyDescent="0.3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t="s">
        <v>20</v>
      </c>
      <c r="G176">
        <v>48</v>
      </c>
      <c r="H176" t="s">
        <v>21</v>
      </c>
      <c r="I176" t="s">
        <v>22</v>
      </c>
      <c r="J176">
        <v>1444021200</v>
      </c>
      <c r="K176">
        <v>1444107600</v>
      </c>
      <c r="L176" t="b">
        <v>0</v>
      </c>
      <c r="M176" t="b">
        <v>1</v>
      </c>
      <c r="N176" t="s">
        <v>65</v>
      </c>
      <c r="O176" s="4">
        <f t="shared" si="6"/>
        <v>0.11177347242921014</v>
      </c>
      <c r="P176" t="str">
        <f t="shared" si="7"/>
        <v>technology</v>
      </c>
      <c r="Q176" t="str">
        <f t="shared" si="8"/>
        <v>wearables</v>
      </c>
    </row>
    <row r="177" spans="1:17" x14ac:dyDescent="0.3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t="s">
        <v>14</v>
      </c>
      <c r="G177">
        <v>1130</v>
      </c>
      <c r="H177" t="s">
        <v>21</v>
      </c>
      <c r="I177" t="s">
        <v>22</v>
      </c>
      <c r="J177">
        <v>1472619600</v>
      </c>
      <c r="K177">
        <v>1474261200</v>
      </c>
      <c r="L177" t="b">
        <v>0</v>
      </c>
      <c r="M177" t="b">
        <v>0</v>
      </c>
      <c r="N177" t="s">
        <v>33</v>
      </c>
      <c r="O177" s="4">
        <f t="shared" si="6"/>
        <v>3.8180324069196572</v>
      </c>
      <c r="P177" t="str">
        <f t="shared" si="7"/>
        <v>theater</v>
      </c>
      <c r="Q177" t="str">
        <f t="shared" si="8"/>
        <v>plays</v>
      </c>
    </row>
    <row r="178" spans="1:17" ht="31.2" x14ac:dyDescent="0.3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t="s">
        <v>14</v>
      </c>
      <c r="G178">
        <v>782</v>
      </c>
      <c r="H178" t="s">
        <v>21</v>
      </c>
      <c r="I178" t="s">
        <v>22</v>
      </c>
      <c r="J178">
        <v>1472878800</v>
      </c>
      <c r="K178">
        <v>1473656400</v>
      </c>
      <c r="L178" t="b">
        <v>0</v>
      </c>
      <c r="M178" t="b">
        <v>0</v>
      </c>
      <c r="N178" t="s">
        <v>33</v>
      </c>
      <c r="O178" s="4">
        <f t="shared" si="6"/>
        <v>1.3362770160353241</v>
      </c>
      <c r="P178" t="str">
        <f t="shared" si="7"/>
        <v>theater</v>
      </c>
      <c r="Q178" t="str">
        <f t="shared" si="8"/>
        <v>plays</v>
      </c>
    </row>
    <row r="179" spans="1:17" x14ac:dyDescent="0.3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t="s">
        <v>20</v>
      </c>
      <c r="G179">
        <v>2739</v>
      </c>
      <c r="H179" t="s">
        <v>21</v>
      </c>
      <c r="I179" t="s">
        <v>22</v>
      </c>
      <c r="J179">
        <v>1289800800</v>
      </c>
      <c r="K179">
        <v>1291960800</v>
      </c>
      <c r="L179" t="b">
        <v>0</v>
      </c>
      <c r="M179" t="b">
        <v>0</v>
      </c>
      <c r="N179" t="s">
        <v>33</v>
      </c>
      <c r="O179" s="4">
        <f t="shared" si="6"/>
        <v>0.24010941067991806</v>
      </c>
      <c r="P179" t="str">
        <f t="shared" si="7"/>
        <v>theater</v>
      </c>
      <c r="Q179" t="str">
        <f t="shared" si="8"/>
        <v>plays</v>
      </c>
    </row>
    <row r="180" spans="1:17" x14ac:dyDescent="0.3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t="s">
        <v>14</v>
      </c>
      <c r="G180">
        <v>210</v>
      </c>
      <c r="H180" t="s">
        <v>21</v>
      </c>
      <c r="I180" t="s">
        <v>22</v>
      </c>
      <c r="J180">
        <v>1505970000</v>
      </c>
      <c r="K180">
        <v>1506747600</v>
      </c>
      <c r="L180" t="b">
        <v>0</v>
      </c>
      <c r="M180" t="b">
        <v>0</v>
      </c>
      <c r="N180" t="s">
        <v>17</v>
      </c>
      <c r="O180" s="4">
        <f t="shared" si="6"/>
        <v>1.0394110004330879</v>
      </c>
      <c r="P180" t="str">
        <f t="shared" si="7"/>
        <v>food</v>
      </c>
      <c r="Q180" t="str">
        <f t="shared" si="8"/>
        <v>food trucks</v>
      </c>
    </row>
    <row r="181" spans="1:17" ht="31.2" x14ac:dyDescent="0.3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t="s">
        <v>20</v>
      </c>
      <c r="G181">
        <v>3537</v>
      </c>
      <c r="H181" t="s">
        <v>15</v>
      </c>
      <c r="I181" t="s">
        <v>16</v>
      </c>
      <c r="J181">
        <v>1363496400</v>
      </c>
      <c r="K181">
        <v>1363582800</v>
      </c>
      <c r="L181" t="b">
        <v>0</v>
      </c>
      <c r="M181" t="b">
        <v>1</v>
      </c>
      <c r="N181" t="s">
        <v>33</v>
      </c>
      <c r="O181" s="4">
        <f t="shared" si="6"/>
        <v>0.2795489524766781</v>
      </c>
      <c r="P181" t="str">
        <f t="shared" si="7"/>
        <v>theater</v>
      </c>
      <c r="Q181" t="str">
        <f t="shared" si="8"/>
        <v>plays</v>
      </c>
    </row>
    <row r="182" spans="1:17" x14ac:dyDescent="0.3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t="s">
        <v>20</v>
      </c>
      <c r="G182">
        <v>2107</v>
      </c>
      <c r="H182" t="s">
        <v>26</v>
      </c>
      <c r="I182" t="s">
        <v>27</v>
      </c>
      <c r="J182">
        <v>1269234000</v>
      </c>
      <c r="K182">
        <v>1269666000</v>
      </c>
      <c r="L182" t="b">
        <v>0</v>
      </c>
      <c r="M182" t="b">
        <v>0</v>
      </c>
      <c r="N182" t="s">
        <v>65</v>
      </c>
      <c r="O182" s="4">
        <f t="shared" si="6"/>
        <v>0.32419414597999258</v>
      </c>
      <c r="P182" t="str">
        <f t="shared" si="7"/>
        <v>technology</v>
      </c>
      <c r="Q182" t="str">
        <f t="shared" si="8"/>
        <v>wearables</v>
      </c>
    </row>
    <row r="183" spans="1:17" x14ac:dyDescent="0.3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t="s">
        <v>14</v>
      </c>
      <c r="G183">
        <v>136</v>
      </c>
      <c r="H183" t="s">
        <v>21</v>
      </c>
      <c r="I183" t="s">
        <v>22</v>
      </c>
      <c r="J183">
        <v>1507093200</v>
      </c>
      <c r="K183">
        <v>1508648400</v>
      </c>
      <c r="L183" t="b">
        <v>0</v>
      </c>
      <c r="M183" t="b">
        <v>0</v>
      </c>
      <c r="N183" t="s">
        <v>28</v>
      </c>
      <c r="O183" s="4">
        <f t="shared" si="6"/>
        <v>1.6180620884289747</v>
      </c>
      <c r="P183" t="str">
        <f t="shared" si="7"/>
        <v>technology</v>
      </c>
      <c r="Q183" t="str">
        <f t="shared" si="8"/>
        <v>web</v>
      </c>
    </row>
    <row r="184" spans="1:17" ht="31.2" x14ac:dyDescent="0.3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t="s">
        <v>20</v>
      </c>
      <c r="G184">
        <v>3318</v>
      </c>
      <c r="H184" t="s">
        <v>36</v>
      </c>
      <c r="I184" t="s">
        <v>37</v>
      </c>
      <c r="J184">
        <v>1560574800</v>
      </c>
      <c r="K184">
        <v>1561957200</v>
      </c>
      <c r="L184" t="b">
        <v>0</v>
      </c>
      <c r="M184" t="b">
        <v>0</v>
      </c>
      <c r="N184" t="s">
        <v>33</v>
      </c>
      <c r="O184" s="4">
        <f t="shared" si="6"/>
        <v>0.13844189016602809</v>
      </c>
      <c r="P184" t="str">
        <f t="shared" si="7"/>
        <v>theater</v>
      </c>
      <c r="Q184" t="str">
        <f t="shared" si="8"/>
        <v>plays</v>
      </c>
    </row>
    <row r="185" spans="1:17" ht="31.2" x14ac:dyDescent="0.3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t="s">
        <v>14</v>
      </c>
      <c r="G185">
        <v>86</v>
      </c>
      <c r="H185" t="s">
        <v>15</v>
      </c>
      <c r="I185" t="s">
        <v>16</v>
      </c>
      <c r="J185">
        <v>1284008400</v>
      </c>
      <c r="K185">
        <v>1285131600</v>
      </c>
      <c r="L185" t="b">
        <v>0</v>
      </c>
      <c r="M185" t="b">
        <v>0</v>
      </c>
      <c r="N185" t="s">
        <v>23</v>
      </c>
      <c r="O185" s="4">
        <f t="shared" si="6"/>
        <v>1.446808510638298</v>
      </c>
      <c r="P185" t="str">
        <f t="shared" si="7"/>
        <v>music</v>
      </c>
      <c r="Q185" t="str">
        <f t="shared" si="8"/>
        <v>rock</v>
      </c>
    </row>
    <row r="186" spans="1:17" x14ac:dyDescent="0.3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t="s">
        <v>20</v>
      </c>
      <c r="G186">
        <v>340</v>
      </c>
      <c r="H186" t="s">
        <v>21</v>
      </c>
      <c r="I186" t="s">
        <v>22</v>
      </c>
      <c r="J186">
        <v>1556859600</v>
      </c>
      <c r="K186">
        <v>1556946000</v>
      </c>
      <c r="L186" t="b">
        <v>0</v>
      </c>
      <c r="M186" t="b">
        <v>0</v>
      </c>
      <c r="N186" t="s">
        <v>33</v>
      </c>
      <c r="O186" s="4">
        <f t="shared" si="6"/>
        <v>0.34123222748815168</v>
      </c>
      <c r="P186" t="str">
        <f t="shared" si="7"/>
        <v>theater</v>
      </c>
      <c r="Q186" t="str">
        <f t="shared" si="8"/>
        <v>plays</v>
      </c>
    </row>
    <row r="187" spans="1:17" x14ac:dyDescent="0.3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t="s">
        <v>14</v>
      </c>
      <c r="G187">
        <v>19</v>
      </c>
      <c r="H187" t="s">
        <v>21</v>
      </c>
      <c r="I187" t="s">
        <v>22</v>
      </c>
      <c r="J187">
        <v>1526187600</v>
      </c>
      <c r="K187">
        <v>1527138000</v>
      </c>
      <c r="L187" t="b">
        <v>0</v>
      </c>
      <c r="M187" t="b">
        <v>0</v>
      </c>
      <c r="N187" t="s">
        <v>269</v>
      </c>
      <c r="O187" s="4">
        <f t="shared" si="6"/>
        <v>1.392757660167131</v>
      </c>
      <c r="P187" t="str">
        <f t="shared" si="7"/>
        <v>film &amp; video</v>
      </c>
      <c r="Q187" t="str">
        <f t="shared" si="8"/>
        <v>television</v>
      </c>
    </row>
    <row r="188" spans="1:17" x14ac:dyDescent="0.3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t="s">
        <v>14</v>
      </c>
      <c r="G188">
        <v>886</v>
      </c>
      <c r="H188" t="s">
        <v>21</v>
      </c>
      <c r="I188" t="s">
        <v>22</v>
      </c>
      <c r="J188">
        <v>1400821200</v>
      </c>
      <c r="K188">
        <v>1402117200</v>
      </c>
      <c r="L188" t="b">
        <v>0</v>
      </c>
      <c r="M188" t="b">
        <v>0</v>
      </c>
      <c r="N188" t="s">
        <v>33</v>
      </c>
      <c r="O188" s="4">
        <f t="shared" si="6"/>
        <v>3.1313914944636436</v>
      </c>
      <c r="P188" t="str">
        <f t="shared" si="7"/>
        <v>theater</v>
      </c>
      <c r="Q188" t="str">
        <f t="shared" si="8"/>
        <v>plays</v>
      </c>
    </row>
    <row r="189" spans="1:17" x14ac:dyDescent="0.3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t="s">
        <v>20</v>
      </c>
      <c r="G189">
        <v>1442</v>
      </c>
      <c r="H189" t="s">
        <v>15</v>
      </c>
      <c r="I189" t="s">
        <v>16</v>
      </c>
      <c r="J189">
        <v>1361599200</v>
      </c>
      <c r="K189">
        <v>1364014800</v>
      </c>
      <c r="L189" t="b">
        <v>0</v>
      </c>
      <c r="M189" t="b">
        <v>1</v>
      </c>
      <c r="N189" t="s">
        <v>100</v>
      </c>
      <c r="O189" s="4">
        <f t="shared" si="6"/>
        <v>0.43502138975604115</v>
      </c>
      <c r="P189" t="str">
        <f t="shared" si="7"/>
        <v>film &amp; video</v>
      </c>
      <c r="Q189" t="str">
        <f t="shared" si="8"/>
        <v>shorts</v>
      </c>
    </row>
    <row r="190" spans="1:17" x14ac:dyDescent="0.3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t="s">
        <v>14</v>
      </c>
      <c r="G190">
        <v>35</v>
      </c>
      <c r="H190" t="s">
        <v>107</v>
      </c>
      <c r="I190" t="s">
        <v>108</v>
      </c>
      <c r="J190">
        <v>1417500000</v>
      </c>
      <c r="K190">
        <v>1417586400</v>
      </c>
      <c r="L190" t="b">
        <v>0</v>
      </c>
      <c r="M190" t="b">
        <v>0</v>
      </c>
      <c r="N190" t="s">
        <v>33</v>
      </c>
      <c r="O190" s="4">
        <f t="shared" si="6"/>
        <v>3.1238095238095238</v>
      </c>
      <c r="P190" t="str">
        <f t="shared" si="7"/>
        <v>theater</v>
      </c>
      <c r="Q190" t="str">
        <f t="shared" si="8"/>
        <v>plays</v>
      </c>
    </row>
    <row r="191" spans="1:17" x14ac:dyDescent="0.3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t="s">
        <v>74</v>
      </c>
      <c r="G191">
        <v>441</v>
      </c>
      <c r="H191" t="s">
        <v>21</v>
      </c>
      <c r="I191" t="s">
        <v>22</v>
      </c>
      <c r="J191">
        <v>1457071200</v>
      </c>
      <c r="K191">
        <v>1457071200</v>
      </c>
      <c r="L191" t="b">
        <v>0</v>
      </c>
      <c r="M191" t="b">
        <v>0</v>
      </c>
      <c r="N191" t="s">
        <v>33</v>
      </c>
      <c r="O191" s="4">
        <f t="shared" si="6"/>
        <v>4.250733268153942</v>
      </c>
      <c r="P191" t="str">
        <f t="shared" si="7"/>
        <v>theater</v>
      </c>
      <c r="Q191" t="str">
        <f t="shared" si="8"/>
        <v>plays</v>
      </c>
    </row>
    <row r="192" spans="1:17" x14ac:dyDescent="0.3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t="s">
        <v>14</v>
      </c>
      <c r="G192">
        <v>24</v>
      </c>
      <c r="H192" t="s">
        <v>21</v>
      </c>
      <c r="I192" t="s">
        <v>22</v>
      </c>
      <c r="J192">
        <v>1370322000</v>
      </c>
      <c r="K192">
        <v>1370408400</v>
      </c>
      <c r="L192" t="b">
        <v>0</v>
      </c>
      <c r="M192" t="b">
        <v>1</v>
      </c>
      <c r="N192" t="s">
        <v>33</v>
      </c>
      <c r="O192" s="4">
        <f t="shared" si="6"/>
        <v>1.4578408195429473</v>
      </c>
      <c r="P192" t="str">
        <f t="shared" si="7"/>
        <v>theater</v>
      </c>
      <c r="Q192" t="str">
        <f t="shared" si="8"/>
        <v>plays</v>
      </c>
    </row>
    <row r="193" spans="1:17" x14ac:dyDescent="0.3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t="s">
        <v>14</v>
      </c>
      <c r="G193">
        <v>86</v>
      </c>
      <c r="H193" t="s">
        <v>107</v>
      </c>
      <c r="I193" t="s">
        <v>108</v>
      </c>
      <c r="J193">
        <v>1552366800</v>
      </c>
      <c r="K193">
        <v>1552626000</v>
      </c>
      <c r="L193" t="b">
        <v>0</v>
      </c>
      <c r="M193" t="b">
        <v>0</v>
      </c>
      <c r="N193" t="s">
        <v>33</v>
      </c>
      <c r="O193" s="4">
        <f t="shared" si="6"/>
        <v>2.6348808030112925</v>
      </c>
      <c r="P193" t="str">
        <f t="shared" si="7"/>
        <v>theater</v>
      </c>
      <c r="Q193" t="str">
        <f t="shared" si="8"/>
        <v>plays</v>
      </c>
    </row>
    <row r="194" spans="1:17" ht="31.2" x14ac:dyDescent="0.3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t="s">
        <v>14</v>
      </c>
      <c r="G194">
        <v>243</v>
      </c>
      <c r="H194" t="s">
        <v>21</v>
      </c>
      <c r="I194" t="s">
        <v>22</v>
      </c>
      <c r="J194">
        <v>1403845200</v>
      </c>
      <c r="K194">
        <v>1404190800</v>
      </c>
      <c r="L194" t="b">
        <v>0</v>
      </c>
      <c r="M194" t="b">
        <v>0</v>
      </c>
      <c r="N194" t="s">
        <v>23</v>
      </c>
      <c r="O194" s="4">
        <f t="shared" si="6"/>
        <v>5.0017611835153222</v>
      </c>
      <c r="P194" t="str">
        <f t="shared" si="7"/>
        <v>music</v>
      </c>
      <c r="Q194" t="str">
        <f t="shared" si="8"/>
        <v>rock</v>
      </c>
    </row>
    <row r="195" spans="1:17" x14ac:dyDescent="0.3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t="s">
        <v>14</v>
      </c>
      <c r="G195">
        <v>65</v>
      </c>
      <c r="H195" t="s">
        <v>21</v>
      </c>
      <c r="I195" t="s">
        <v>22</v>
      </c>
      <c r="J195">
        <v>1523163600</v>
      </c>
      <c r="K195">
        <v>1523509200</v>
      </c>
      <c r="L195" t="b">
        <v>1</v>
      </c>
      <c r="M195" t="b">
        <v>0</v>
      </c>
      <c r="N195" t="s">
        <v>60</v>
      </c>
      <c r="O195" s="4">
        <f t="shared" ref="O195:O258" si="9">D195/E195</f>
        <v>2.191235059760956</v>
      </c>
      <c r="P195" t="str">
        <f t="shared" ref="P195:P258" si="10">LEFT(N195,SEARCH("/",N195) -1)</f>
        <v>music</v>
      </c>
      <c r="Q195" t="str">
        <f t="shared" ref="Q195:Q258" si="11">RIGHT(N195,LEN(N195)-SEARCH("/",N195))</f>
        <v>indie rock</v>
      </c>
    </row>
    <row r="196" spans="1:17" x14ac:dyDescent="0.3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t="s">
        <v>20</v>
      </c>
      <c r="G196">
        <v>126</v>
      </c>
      <c r="H196" t="s">
        <v>21</v>
      </c>
      <c r="I196" t="s">
        <v>22</v>
      </c>
      <c r="J196">
        <v>1442206800</v>
      </c>
      <c r="K196">
        <v>1443589200</v>
      </c>
      <c r="L196" t="b">
        <v>0</v>
      </c>
      <c r="M196" t="b">
        <v>0</v>
      </c>
      <c r="N196" t="s">
        <v>148</v>
      </c>
      <c r="O196" s="4">
        <f t="shared" si="9"/>
        <v>0.81459385039008725</v>
      </c>
      <c r="P196" t="str">
        <f t="shared" si="10"/>
        <v>music</v>
      </c>
      <c r="Q196" t="str">
        <f t="shared" si="11"/>
        <v>metal</v>
      </c>
    </row>
    <row r="197" spans="1:17" x14ac:dyDescent="0.3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t="s">
        <v>20</v>
      </c>
      <c r="G197">
        <v>524</v>
      </c>
      <c r="H197" t="s">
        <v>21</v>
      </c>
      <c r="I197" t="s">
        <v>22</v>
      </c>
      <c r="J197">
        <v>1532840400</v>
      </c>
      <c r="K197">
        <v>1533445200</v>
      </c>
      <c r="L197" t="b">
        <v>0</v>
      </c>
      <c r="M197" t="b">
        <v>0</v>
      </c>
      <c r="N197" t="s">
        <v>50</v>
      </c>
      <c r="O197" s="4">
        <f t="shared" si="9"/>
        <v>0.27643158318316219</v>
      </c>
      <c r="P197" t="str">
        <f t="shared" si="10"/>
        <v>music</v>
      </c>
      <c r="Q197" t="str">
        <f t="shared" si="11"/>
        <v>electric music</v>
      </c>
    </row>
    <row r="198" spans="1:17" x14ac:dyDescent="0.3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t="s">
        <v>14</v>
      </c>
      <c r="G198">
        <v>100</v>
      </c>
      <c r="H198" t="s">
        <v>36</v>
      </c>
      <c r="I198" t="s">
        <v>37</v>
      </c>
      <c r="J198">
        <v>1472878800</v>
      </c>
      <c r="K198">
        <v>1474520400</v>
      </c>
      <c r="L198" t="b">
        <v>0</v>
      </c>
      <c r="M198" t="b">
        <v>0</v>
      </c>
      <c r="N198" t="s">
        <v>65</v>
      </c>
      <c r="O198" s="4">
        <f t="shared" si="9"/>
        <v>1.5836230204712245</v>
      </c>
      <c r="P198" t="str">
        <f t="shared" si="10"/>
        <v>technology</v>
      </c>
      <c r="Q198" t="str">
        <f t="shared" si="11"/>
        <v>wearables</v>
      </c>
    </row>
    <row r="199" spans="1:17" x14ac:dyDescent="0.3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t="s">
        <v>20</v>
      </c>
      <c r="G199">
        <v>1989</v>
      </c>
      <c r="H199" t="s">
        <v>21</v>
      </c>
      <c r="I199" t="s">
        <v>22</v>
      </c>
      <c r="J199">
        <v>1498194000</v>
      </c>
      <c r="K199">
        <v>1499403600</v>
      </c>
      <c r="L199" t="b">
        <v>0</v>
      </c>
      <c r="M199" t="b">
        <v>0</v>
      </c>
      <c r="N199" t="s">
        <v>53</v>
      </c>
      <c r="O199" s="4">
        <f t="shared" si="9"/>
        <v>0.33534006056964899</v>
      </c>
      <c r="P199" t="str">
        <f t="shared" si="10"/>
        <v>film &amp; video</v>
      </c>
      <c r="Q199" t="str">
        <f t="shared" si="11"/>
        <v>drama</v>
      </c>
    </row>
    <row r="200" spans="1:17" x14ac:dyDescent="0.3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t="s">
        <v>14</v>
      </c>
      <c r="G200">
        <v>168</v>
      </c>
      <c r="H200" t="s">
        <v>21</v>
      </c>
      <c r="I200" t="s">
        <v>22</v>
      </c>
      <c r="J200">
        <v>1281070800</v>
      </c>
      <c r="K200">
        <v>1283576400</v>
      </c>
      <c r="L200" t="b">
        <v>0</v>
      </c>
      <c r="M200" t="b">
        <v>0</v>
      </c>
      <c r="N200" t="s">
        <v>50</v>
      </c>
      <c r="O200" s="4">
        <f t="shared" si="9"/>
        <v>10.461844065552061</v>
      </c>
      <c r="P200" t="str">
        <f t="shared" si="10"/>
        <v>music</v>
      </c>
      <c r="Q200" t="str">
        <f t="shared" si="11"/>
        <v>electric music</v>
      </c>
    </row>
    <row r="201" spans="1:17" x14ac:dyDescent="0.3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t="s">
        <v>14</v>
      </c>
      <c r="G201">
        <v>13</v>
      </c>
      <c r="H201" t="s">
        <v>21</v>
      </c>
      <c r="I201" t="s">
        <v>22</v>
      </c>
      <c r="J201">
        <v>1436245200</v>
      </c>
      <c r="K201">
        <v>1436590800</v>
      </c>
      <c r="L201" t="b">
        <v>0</v>
      </c>
      <c r="M201" t="b">
        <v>0</v>
      </c>
      <c r="N201" t="s">
        <v>23</v>
      </c>
      <c r="O201" s="4">
        <f t="shared" si="9"/>
        <v>1.859504132231405</v>
      </c>
      <c r="P201" t="str">
        <f t="shared" si="10"/>
        <v>music</v>
      </c>
      <c r="Q201" t="str">
        <f t="shared" si="11"/>
        <v>rock</v>
      </c>
    </row>
    <row r="202" spans="1:17" x14ac:dyDescent="0.3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t="s">
        <v>14</v>
      </c>
      <c r="G202">
        <v>1</v>
      </c>
      <c r="H202" t="s">
        <v>15</v>
      </c>
      <c r="I202" t="s">
        <v>16</v>
      </c>
      <c r="J202">
        <v>1269493200</v>
      </c>
      <c r="K202">
        <v>1270443600</v>
      </c>
      <c r="L202" t="b">
        <v>0</v>
      </c>
      <c r="M202" t="b">
        <v>0</v>
      </c>
      <c r="N202" t="s">
        <v>33</v>
      </c>
      <c r="O202" s="4">
        <f t="shared" si="9"/>
        <v>50</v>
      </c>
      <c r="P202" t="str">
        <f t="shared" si="10"/>
        <v>theater</v>
      </c>
      <c r="Q202" t="str">
        <f t="shared" si="11"/>
        <v>plays</v>
      </c>
    </row>
    <row r="203" spans="1:17" ht="31.2" x14ac:dyDescent="0.3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t="s">
        <v>20</v>
      </c>
      <c r="G203">
        <v>157</v>
      </c>
      <c r="H203" t="s">
        <v>21</v>
      </c>
      <c r="I203" t="s">
        <v>22</v>
      </c>
      <c r="J203">
        <v>1406264400</v>
      </c>
      <c r="K203">
        <v>1407819600</v>
      </c>
      <c r="L203" t="b">
        <v>0</v>
      </c>
      <c r="M203" t="b">
        <v>0</v>
      </c>
      <c r="N203" t="s">
        <v>28</v>
      </c>
      <c r="O203" s="4">
        <f t="shared" si="9"/>
        <v>0.14680181754631247</v>
      </c>
      <c r="P203" t="str">
        <f t="shared" si="10"/>
        <v>technology</v>
      </c>
      <c r="Q203" t="str">
        <f t="shared" si="11"/>
        <v>web</v>
      </c>
    </row>
    <row r="204" spans="1:17" x14ac:dyDescent="0.3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t="s">
        <v>74</v>
      </c>
      <c r="G204">
        <v>82</v>
      </c>
      <c r="H204" t="s">
        <v>21</v>
      </c>
      <c r="I204" t="s">
        <v>22</v>
      </c>
      <c r="J204">
        <v>1317531600</v>
      </c>
      <c r="K204">
        <v>1317877200</v>
      </c>
      <c r="L204" t="b">
        <v>0</v>
      </c>
      <c r="M204" t="b">
        <v>0</v>
      </c>
      <c r="N204" t="s">
        <v>17</v>
      </c>
      <c r="O204" s="4">
        <f t="shared" si="9"/>
        <v>1.2685312547760965</v>
      </c>
      <c r="P204" t="str">
        <f t="shared" si="10"/>
        <v>food</v>
      </c>
      <c r="Q204" t="str">
        <f t="shared" si="11"/>
        <v>food trucks</v>
      </c>
    </row>
    <row r="205" spans="1:17" ht="31.2" x14ac:dyDescent="0.3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t="s">
        <v>20</v>
      </c>
      <c r="G205">
        <v>4498</v>
      </c>
      <c r="H205" t="s">
        <v>26</v>
      </c>
      <c r="I205" t="s">
        <v>27</v>
      </c>
      <c r="J205">
        <v>1484632800</v>
      </c>
      <c r="K205">
        <v>1484805600</v>
      </c>
      <c r="L205" t="b">
        <v>0</v>
      </c>
      <c r="M205" t="b">
        <v>0</v>
      </c>
      <c r="N205" t="s">
        <v>33</v>
      </c>
      <c r="O205" s="4">
        <f t="shared" si="9"/>
        <v>0.74400376396622769</v>
      </c>
      <c r="P205" t="str">
        <f t="shared" si="10"/>
        <v>theater</v>
      </c>
      <c r="Q205" t="str">
        <f t="shared" si="11"/>
        <v>plays</v>
      </c>
    </row>
    <row r="206" spans="1:17" x14ac:dyDescent="0.3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t="s">
        <v>14</v>
      </c>
      <c r="G206">
        <v>40</v>
      </c>
      <c r="H206" t="s">
        <v>21</v>
      </c>
      <c r="I206" t="s">
        <v>22</v>
      </c>
      <c r="J206">
        <v>1301806800</v>
      </c>
      <c r="K206">
        <v>1302670800</v>
      </c>
      <c r="L206" t="b">
        <v>0</v>
      </c>
      <c r="M206" t="b">
        <v>0</v>
      </c>
      <c r="N206" t="s">
        <v>159</v>
      </c>
      <c r="O206" s="4">
        <f t="shared" si="9"/>
        <v>29.655990510083036</v>
      </c>
      <c r="P206" t="str">
        <f t="shared" si="10"/>
        <v>music</v>
      </c>
      <c r="Q206" t="str">
        <f t="shared" si="11"/>
        <v>jazz</v>
      </c>
    </row>
    <row r="207" spans="1:17" x14ac:dyDescent="0.3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t="s">
        <v>20</v>
      </c>
      <c r="G207">
        <v>80</v>
      </c>
      <c r="H207" t="s">
        <v>21</v>
      </c>
      <c r="I207" t="s">
        <v>22</v>
      </c>
      <c r="J207">
        <v>1539752400</v>
      </c>
      <c r="K207">
        <v>1540789200</v>
      </c>
      <c r="L207" t="b">
        <v>1</v>
      </c>
      <c r="M207" t="b">
        <v>0</v>
      </c>
      <c r="N207" t="s">
        <v>33</v>
      </c>
      <c r="O207" s="4">
        <f t="shared" si="9"/>
        <v>0.23156394727467047</v>
      </c>
      <c r="P207" t="str">
        <f t="shared" si="10"/>
        <v>theater</v>
      </c>
      <c r="Q207" t="str">
        <f t="shared" si="11"/>
        <v>plays</v>
      </c>
    </row>
    <row r="208" spans="1:17" x14ac:dyDescent="0.3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t="s">
        <v>74</v>
      </c>
      <c r="G208">
        <v>57</v>
      </c>
      <c r="H208" t="s">
        <v>21</v>
      </c>
      <c r="I208" t="s">
        <v>22</v>
      </c>
      <c r="J208">
        <v>1267250400</v>
      </c>
      <c r="K208">
        <v>1268028000</v>
      </c>
      <c r="L208" t="b">
        <v>0</v>
      </c>
      <c r="M208" t="b">
        <v>0</v>
      </c>
      <c r="N208" t="s">
        <v>119</v>
      </c>
      <c r="O208" s="4">
        <f t="shared" si="9"/>
        <v>2.5743707093821508</v>
      </c>
      <c r="P208" t="str">
        <f t="shared" si="10"/>
        <v>publishing</v>
      </c>
      <c r="Q208" t="str">
        <f t="shared" si="11"/>
        <v>fiction</v>
      </c>
    </row>
    <row r="209" spans="1:17" ht="31.2" x14ac:dyDescent="0.3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t="s">
        <v>20</v>
      </c>
      <c r="G209">
        <v>43</v>
      </c>
      <c r="H209" t="s">
        <v>21</v>
      </c>
      <c r="I209" t="s">
        <v>22</v>
      </c>
      <c r="J209">
        <v>1535432400</v>
      </c>
      <c r="K209">
        <v>1537160400</v>
      </c>
      <c r="L209" t="b">
        <v>0</v>
      </c>
      <c r="M209" t="b">
        <v>1</v>
      </c>
      <c r="N209" t="s">
        <v>23</v>
      </c>
      <c r="O209" s="4">
        <f t="shared" si="9"/>
        <v>0.23490721165139769</v>
      </c>
      <c r="P209" t="str">
        <f t="shared" si="10"/>
        <v>music</v>
      </c>
      <c r="Q209" t="str">
        <f t="shared" si="11"/>
        <v>rock</v>
      </c>
    </row>
    <row r="210" spans="1:17" x14ac:dyDescent="0.3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t="s">
        <v>20</v>
      </c>
      <c r="G210">
        <v>2053</v>
      </c>
      <c r="H210" t="s">
        <v>21</v>
      </c>
      <c r="I210" t="s">
        <v>22</v>
      </c>
      <c r="J210">
        <v>1510207200</v>
      </c>
      <c r="K210">
        <v>1512280800</v>
      </c>
      <c r="L210" t="b">
        <v>0</v>
      </c>
      <c r="M210" t="b">
        <v>0</v>
      </c>
      <c r="N210" t="s">
        <v>42</v>
      </c>
      <c r="O210" s="4">
        <f t="shared" si="9"/>
        <v>0.98890060770428412</v>
      </c>
      <c r="P210" t="str">
        <f t="shared" si="10"/>
        <v>film &amp; video</v>
      </c>
      <c r="Q210" t="str">
        <f t="shared" si="11"/>
        <v>documentary</v>
      </c>
    </row>
    <row r="211" spans="1:17" ht="31.2" x14ac:dyDescent="0.3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t="s">
        <v>47</v>
      </c>
      <c r="G211">
        <v>808</v>
      </c>
      <c r="H211" t="s">
        <v>26</v>
      </c>
      <c r="I211" t="s">
        <v>27</v>
      </c>
      <c r="J211">
        <v>1462510800</v>
      </c>
      <c r="K211">
        <v>1463115600</v>
      </c>
      <c r="L211" t="b">
        <v>0</v>
      </c>
      <c r="M211" t="b">
        <v>0</v>
      </c>
      <c r="N211" t="s">
        <v>42</v>
      </c>
      <c r="O211" s="4">
        <f t="shared" si="9"/>
        <v>4.7194991749975737</v>
      </c>
      <c r="P211" t="str">
        <f t="shared" si="10"/>
        <v>film &amp; video</v>
      </c>
      <c r="Q211" t="str">
        <f t="shared" si="11"/>
        <v>documentary</v>
      </c>
    </row>
    <row r="212" spans="1:17" x14ac:dyDescent="0.3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t="s">
        <v>14</v>
      </c>
      <c r="G212">
        <v>226</v>
      </c>
      <c r="H212" t="s">
        <v>36</v>
      </c>
      <c r="I212" t="s">
        <v>37</v>
      </c>
      <c r="J212">
        <v>1488520800</v>
      </c>
      <c r="K212">
        <v>1490850000</v>
      </c>
      <c r="L212" t="b">
        <v>0</v>
      </c>
      <c r="M212" t="b">
        <v>0</v>
      </c>
      <c r="N212" t="s">
        <v>474</v>
      </c>
      <c r="O212" s="4">
        <f t="shared" si="9"/>
        <v>1.4831177027453455</v>
      </c>
      <c r="P212" t="str">
        <f t="shared" si="10"/>
        <v>film &amp; video</v>
      </c>
      <c r="Q212" t="str">
        <f t="shared" si="11"/>
        <v>science fiction</v>
      </c>
    </row>
    <row r="213" spans="1:17" ht="31.2" x14ac:dyDescent="0.3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t="s">
        <v>14</v>
      </c>
      <c r="G213">
        <v>1625</v>
      </c>
      <c r="H213" t="s">
        <v>21</v>
      </c>
      <c r="I213" t="s">
        <v>22</v>
      </c>
      <c r="J213">
        <v>1377579600</v>
      </c>
      <c r="K213">
        <v>1379653200</v>
      </c>
      <c r="L213" t="b">
        <v>0</v>
      </c>
      <c r="M213" t="b">
        <v>0</v>
      </c>
      <c r="N213" t="s">
        <v>33</v>
      </c>
      <c r="O213" s="4">
        <f t="shared" si="9"/>
        <v>1.0534813319878911</v>
      </c>
      <c r="P213" t="str">
        <f t="shared" si="10"/>
        <v>theater</v>
      </c>
      <c r="Q213" t="str">
        <f t="shared" si="11"/>
        <v>plays</v>
      </c>
    </row>
    <row r="214" spans="1:17" ht="31.2" x14ac:dyDescent="0.3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t="s">
        <v>20</v>
      </c>
      <c r="G214">
        <v>168</v>
      </c>
      <c r="H214" t="s">
        <v>21</v>
      </c>
      <c r="I214" t="s">
        <v>22</v>
      </c>
      <c r="J214">
        <v>1576389600</v>
      </c>
      <c r="K214">
        <v>1580364000</v>
      </c>
      <c r="L214" t="b">
        <v>0</v>
      </c>
      <c r="M214" t="b">
        <v>0</v>
      </c>
      <c r="N214" t="s">
        <v>33</v>
      </c>
      <c r="O214" s="4">
        <f t="shared" si="9"/>
        <v>0.65853658536585369</v>
      </c>
      <c r="P214" t="str">
        <f t="shared" si="10"/>
        <v>theater</v>
      </c>
      <c r="Q214" t="str">
        <f t="shared" si="11"/>
        <v>plays</v>
      </c>
    </row>
    <row r="215" spans="1:17" ht="31.2" x14ac:dyDescent="0.3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t="s">
        <v>20</v>
      </c>
      <c r="G215">
        <v>4289</v>
      </c>
      <c r="H215" t="s">
        <v>21</v>
      </c>
      <c r="I215" t="s">
        <v>22</v>
      </c>
      <c r="J215">
        <v>1289019600</v>
      </c>
      <c r="K215">
        <v>1289714400</v>
      </c>
      <c r="L215" t="b">
        <v>0</v>
      </c>
      <c r="M215" t="b">
        <v>1</v>
      </c>
      <c r="N215" t="s">
        <v>60</v>
      </c>
      <c r="O215" s="4">
        <f t="shared" si="9"/>
        <v>0.51239004599269011</v>
      </c>
      <c r="P215" t="str">
        <f t="shared" si="10"/>
        <v>music</v>
      </c>
      <c r="Q215" t="str">
        <f t="shared" si="11"/>
        <v>indie rock</v>
      </c>
    </row>
    <row r="216" spans="1:17" x14ac:dyDescent="0.3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t="s">
        <v>20</v>
      </c>
      <c r="G216">
        <v>165</v>
      </c>
      <c r="H216" t="s">
        <v>21</v>
      </c>
      <c r="I216" t="s">
        <v>22</v>
      </c>
      <c r="J216">
        <v>1282194000</v>
      </c>
      <c r="K216">
        <v>1282712400</v>
      </c>
      <c r="L216" t="b">
        <v>0</v>
      </c>
      <c r="M216" t="b">
        <v>0</v>
      </c>
      <c r="N216" t="s">
        <v>23</v>
      </c>
      <c r="O216" s="4">
        <f t="shared" si="9"/>
        <v>9.773806199385647E-2</v>
      </c>
      <c r="P216" t="str">
        <f t="shared" si="10"/>
        <v>music</v>
      </c>
      <c r="Q216" t="str">
        <f t="shared" si="11"/>
        <v>rock</v>
      </c>
    </row>
    <row r="217" spans="1:17" x14ac:dyDescent="0.3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t="s">
        <v>14</v>
      </c>
      <c r="G217">
        <v>143</v>
      </c>
      <c r="H217" t="s">
        <v>21</v>
      </c>
      <c r="I217" t="s">
        <v>22</v>
      </c>
      <c r="J217">
        <v>1550037600</v>
      </c>
      <c r="K217">
        <v>1550210400</v>
      </c>
      <c r="L217" t="b">
        <v>0</v>
      </c>
      <c r="M217" t="b">
        <v>0</v>
      </c>
      <c r="N217" t="s">
        <v>33</v>
      </c>
      <c r="O217" s="4">
        <f t="shared" si="9"/>
        <v>26.029216467463481</v>
      </c>
      <c r="P217" t="str">
        <f t="shared" si="10"/>
        <v>theater</v>
      </c>
      <c r="Q217" t="str">
        <f t="shared" si="11"/>
        <v>plays</v>
      </c>
    </row>
    <row r="218" spans="1:17" x14ac:dyDescent="0.3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t="s">
        <v>20</v>
      </c>
      <c r="G218">
        <v>1815</v>
      </c>
      <c r="H218" t="s">
        <v>21</v>
      </c>
      <c r="I218" t="s">
        <v>22</v>
      </c>
      <c r="J218">
        <v>1321941600</v>
      </c>
      <c r="K218">
        <v>1322114400</v>
      </c>
      <c r="L218" t="b">
        <v>0</v>
      </c>
      <c r="M218" t="b">
        <v>0</v>
      </c>
      <c r="N218" t="s">
        <v>33</v>
      </c>
      <c r="O218" s="4">
        <f t="shared" si="9"/>
        <v>0.64486729086853078</v>
      </c>
      <c r="P218" t="str">
        <f t="shared" si="10"/>
        <v>theater</v>
      </c>
      <c r="Q218" t="str">
        <f t="shared" si="11"/>
        <v>plays</v>
      </c>
    </row>
    <row r="219" spans="1:17" x14ac:dyDescent="0.3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t="s">
        <v>14</v>
      </c>
      <c r="G219">
        <v>934</v>
      </c>
      <c r="H219" t="s">
        <v>21</v>
      </c>
      <c r="I219" t="s">
        <v>22</v>
      </c>
      <c r="J219">
        <v>1556427600</v>
      </c>
      <c r="K219">
        <v>1557205200</v>
      </c>
      <c r="L219" t="b">
        <v>0</v>
      </c>
      <c r="M219" t="b">
        <v>0</v>
      </c>
      <c r="N219" t="s">
        <v>474</v>
      </c>
      <c r="O219" s="4">
        <f t="shared" si="9"/>
        <v>2.2344632280568457</v>
      </c>
      <c r="P219" t="str">
        <f t="shared" si="10"/>
        <v>film &amp; video</v>
      </c>
      <c r="Q219" t="str">
        <f t="shared" si="11"/>
        <v>science fiction</v>
      </c>
    </row>
    <row r="220" spans="1:17" x14ac:dyDescent="0.3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t="s">
        <v>20</v>
      </c>
      <c r="G220">
        <v>397</v>
      </c>
      <c r="H220" t="s">
        <v>40</v>
      </c>
      <c r="I220" t="s">
        <v>41</v>
      </c>
      <c r="J220">
        <v>1320991200</v>
      </c>
      <c r="K220">
        <v>1323928800</v>
      </c>
      <c r="L220" t="b">
        <v>0</v>
      </c>
      <c r="M220" t="b">
        <v>1</v>
      </c>
      <c r="N220" t="s">
        <v>100</v>
      </c>
      <c r="O220" s="4">
        <f t="shared" si="9"/>
        <v>0.46307579819644162</v>
      </c>
      <c r="P220" t="str">
        <f t="shared" si="10"/>
        <v>film &amp; video</v>
      </c>
      <c r="Q220" t="str">
        <f t="shared" si="11"/>
        <v>shorts</v>
      </c>
    </row>
    <row r="221" spans="1:17" x14ac:dyDescent="0.3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t="s">
        <v>20</v>
      </c>
      <c r="G221">
        <v>1539</v>
      </c>
      <c r="H221" t="s">
        <v>21</v>
      </c>
      <c r="I221" t="s">
        <v>22</v>
      </c>
      <c r="J221">
        <v>1345093200</v>
      </c>
      <c r="K221">
        <v>1346130000</v>
      </c>
      <c r="L221" t="b">
        <v>0</v>
      </c>
      <c r="M221" t="b">
        <v>0</v>
      </c>
      <c r="N221" t="s">
        <v>71</v>
      </c>
      <c r="O221" s="4">
        <f t="shared" si="9"/>
        <v>0.30108955428637446</v>
      </c>
      <c r="P221" t="str">
        <f t="shared" si="10"/>
        <v>film &amp; video</v>
      </c>
      <c r="Q221" t="str">
        <f t="shared" si="11"/>
        <v>animation</v>
      </c>
    </row>
    <row r="222" spans="1:17" x14ac:dyDescent="0.3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t="s">
        <v>14</v>
      </c>
      <c r="G222">
        <v>17</v>
      </c>
      <c r="H222" t="s">
        <v>21</v>
      </c>
      <c r="I222" t="s">
        <v>22</v>
      </c>
      <c r="J222">
        <v>1309496400</v>
      </c>
      <c r="K222">
        <v>1311051600</v>
      </c>
      <c r="L222" t="b">
        <v>1</v>
      </c>
      <c r="M222" t="b">
        <v>0</v>
      </c>
      <c r="N222" t="s">
        <v>33</v>
      </c>
      <c r="O222" s="4">
        <f t="shared" si="9"/>
        <v>11.84407796101949</v>
      </c>
      <c r="P222" t="str">
        <f t="shared" si="10"/>
        <v>theater</v>
      </c>
      <c r="Q222" t="str">
        <f t="shared" si="11"/>
        <v>plays</v>
      </c>
    </row>
    <row r="223" spans="1:17" ht="31.2" x14ac:dyDescent="0.3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t="s">
        <v>14</v>
      </c>
      <c r="G223">
        <v>2179</v>
      </c>
      <c r="H223" t="s">
        <v>21</v>
      </c>
      <c r="I223" t="s">
        <v>22</v>
      </c>
      <c r="J223">
        <v>1340254800</v>
      </c>
      <c r="K223">
        <v>1340427600</v>
      </c>
      <c r="L223" t="b">
        <v>1</v>
      </c>
      <c r="M223" t="b">
        <v>0</v>
      </c>
      <c r="N223" t="s">
        <v>17</v>
      </c>
      <c r="O223" s="4">
        <f t="shared" si="9"/>
        <v>1.0139364099140449</v>
      </c>
      <c r="P223" t="str">
        <f t="shared" si="10"/>
        <v>food</v>
      </c>
      <c r="Q223" t="str">
        <f t="shared" si="11"/>
        <v>food trucks</v>
      </c>
    </row>
    <row r="224" spans="1:17" x14ac:dyDescent="0.3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t="s">
        <v>20</v>
      </c>
      <c r="G224">
        <v>138</v>
      </c>
      <c r="H224" t="s">
        <v>21</v>
      </c>
      <c r="I224" t="s">
        <v>22</v>
      </c>
      <c r="J224">
        <v>1412226000</v>
      </c>
      <c r="K224">
        <v>1412312400</v>
      </c>
      <c r="L224" t="b">
        <v>0</v>
      </c>
      <c r="M224" t="b">
        <v>0</v>
      </c>
      <c r="N224" t="s">
        <v>122</v>
      </c>
      <c r="O224" s="4">
        <f t="shared" si="9"/>
        <v>0.72474709346217725</v>
      </c>
      <c r="P224" t="str">
        <f t="shared" si="10"/>
        <v>photography</v>
      </c>
      <c r="Q224" t="str">
        <f t="shared" si="11"/>
        <v>photography books</v>
      </c>
    </row>
    <row r="225" spans="1:17" x14ac:dyDescent="0.3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t="s">
        <v>14</v>
      </c>
      <c r="G225">
        <v>931</v>
      </c>
      <c r="H225" t="s">
        <v>21</v>
      </c>
      <c r="I225" t="s">
        <v>22</v>
      </c>
      <c r="J225">
        <v>1458104400</v>
      </c>
      <c r="K225">
        <v>1459314000</v>
      </c>
      <c r="L225" t="b">
        <v>0</v>
      </c>
      <c r="M225" t="b">
        <v>0</v>
      </c>
      <c r="N225" t="s">
        <v>33</v>
      </c>
      <c r="O225" s="4">
        <f t="shared" si="9"/>
        <v>1.0659731125682259</v>
      </c>
      <c r="P225" t="str">
        <f t="shared" si="10"/>
        <v>theater</v>
      </c>
      <c r="Q225" t="str">
        <f t="shared" si="11"/>
        <v>plays</v>
      </c>
    </row>
    <row r="226" spans="1:17" x14ac:dyDescent="0.3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t="s">
        <v>20</v>
      </c>
      <c r="G226">
        <v>3594</v>
      </c>
      <c r="H226" t="s">
        <v>21</v>
      </c>
      <c r="I226" t="s">
        <v>22</v>
      </c>
      <c r="J226">
        <v>1411534800</v>
      </c>
      <c r="K226">
        <v>1415426400</v>
      </c>
      <c r="L226" t="b">
        <v>0</v>
      </c>
      <c r="M226" t="b">
        <v>0</v>
      </c>
      <c r="N226" t="s">
        <v>474</v>
      </c>
      <c r="O226" s="4">
        <f t="shared" si="9"/>
        <v>0.24774594001658773</v>
      </c>
      <c r="P226" t="str">
        <f t="shared" si="10"/>
        <v>film &amp; video</v>
      </c>
      <c r="Q226" t="str">
        <f t="shared" si="11"/>
        <v>science fiction</v>
      </c>
    </row>
    <row r="227" spans="1:17" x14ac:dyDescent="0.3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t="s">
        <v>20</v>
      </c>
      <c r="G227">
        <v>5880</v>
      </c>
      <c r="H227" t="s">
        <v>21</v>
      </c>
      <c r="I227" t="s">
        <v>22</v>
      </c>
      <c r="J227">
        <v>1399093200</v>
      </c>
      <c r="K227">
        <v>1399093200</v>
      </c>
      <c r="L227" t="b">
        <v>1</v>
      </c>
      <c r="M227" t="b">
        <v>0</v>
      </c>
      <c r="N227" t="s">
        <v>23</v>
      </c>
      <c r="O227" s="4">
        <f t="shared" si="9"/>
        <v>0.38435809929817799</v>
      </c>
      <c r="P227" t="str">
        <f t="shared" si="10"/>
        <v>music</v>
      </c>
      <c r="Q227" t="str">
        <f t="shared" si="11"/>
        <v>rock</v>
      </c>
    </row>
    <row r="228" spans="1:17" x14ac:dyDescent="0.3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t="s">
        <v>20</v>
      </c>
      <c r="G228">
        <v>112</v>
      </c>
      <c r="H228" t="s">
        <v>21</v>
      </c>
      <c r="I228" t="s">
        <v>22</v>
      </c>
      <c r="J228">
        <v>1270702800</v>
      </c>
      <c r="K228">
        <v>1273899600</v>
      </c>
      <c r="L228" t="b">
        <v>0</v>
      </c>
      <c r="M228" t="b">
        <v>0</v>
      </c>
      <c r="N228" t="s">
        <v>122</v>
      </c>
      <c r="O228" s="4">
        <f t="shared" si="9"/>
        <v>0.27275206836985183</v>
      </c>
      <c r="P228" t="str">
        <f t="shared" si="10"/>
        <v>photography</v>
      </c>
      <c r="Q228" t="str">
        <f t="shared" si="11"/>
        <v>photography books</v>
      </c>
    </row>
    <row r="229" spans="1:17" ht="31.2" x14ac:dyDescent="0.3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t="s">
        <v>20</v>
      </c>
      <c r="G229">
        <v>943</v>
      </c>
      <c r="H229" t="s">
        <v>21</v>
      </c>
      <c r="I229" t="s">
        <v>22</v>
      </c>
      <c r="J229">
        <v>1431666000</v>
      </c>
      <c r="K229">
        <v>1432184400</v>
      </c>
      <c r="L229" t="b">
        <v>0</v>
      </c>
      <c r="M229" t="b">
        <v>0</v>
      </c>
      <c r="N229" t="s">
        <v>292</v>
      </c>
      <c r="O229" s="4">
        <f t="shared" si="9"/>
        <v>0.59269496160621304</v>
      </c>
      <c r="P229" t="str">
        <f t="shared" si="10"/>
        <v>games</v>
      </c>
      <c r="Q229" t="str">
        <f t="shared" si="11"/>
        <v>mobile games</v>
      </c>
    </row>
    <row r="230" spans="1:17" x14ac:dyDescent="0.3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t="s">
        <v>20</v>
      </c>
      <c r="G230">
        <v>2468</v>
      </c>
      <c r="H230" t="s">
        <v>21</v>
      </c>
      <c r="I230" t="s">
        <v>22</v>
      </c>
      <c r="J230">
        <v>1472619600</v>
      </c>
      <c r="K230">
        <v>1474779600</v>
      </c>
      <c r="L230" t="b">
        <v>0</v>
      </c>
      <c r="M230" t="b">
        <v>0</v>
      </c>
      <c r="N230" t="s">
        <v>71</v>
      </c>
      <c r="O230" s="4">
        <f t="shared" si="9"/>
        <v>0.83397842179108805</v>
      </c>
      <c r="P230" t="str">
        <f t="shared" si="10"/>
        <v>film &amp; video</v>
      </c>
      <c r="Q230" t="str">
        <f t="shared" si="11"/>
        <v>animation</v>
      </c>
    </row>
    <row r="231" spans="1:17" x14ac:dyDescent="0.3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t="s">
        <v>20</v>
      </c>
      <c r="G231">
        <v>2551</v>
      </c>
      <c r="H231" t="s">
        <v>21</v>
      </c>
      <c r="I231" t="s">
        <v>22</v>
      </c>
      <c r="J231">
        <v>1496293200</v>
      </c>
      <c r="K231">
        <v>1500440400</v>
      </c>
      <c r="L231" t="b">
        <v>0</v>
      </c>
      <c r="M231" t="b">
        <v>1</v>
      </c>
      <c r="N231" t="s">
        <v>292</v>
      </c>
      <c r="O231" s="4">
        <f t="shared" si="9"/>
        <v>0.51629090821360935</v>
      </c>
      <c r="P231" t="str">
        <f t="shared" si="10"/>
        <v>games</v>
      </c>
      <c r="Q231" t="str">
        <f t="shared" si="11"/>
        <v>mobile games</v>
      </c>
    </row>
    <row r="232" spans="1:17" x14ac:dyDescent="0.3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t="s">
        <v>20</v>
      </c>
      <c r="G232">
        <v>101</v>
      </c>
      <c r="H232" t="s">
        <v>21</v>
      </c>
      <c r="I232" t="s">
        <v>22</v>
      </c>
      <c r="J232">
        <v>1575612000</v>
      </c>
      <c r="K232">
        <v>1575612000</v>
      </c>
      <c r="L232" t="b">
        <v>0</v>
      </c>
      <c r="M232" t="b">
        <v>0</v>
      </c>
      <c r="N232" t="s">
        <v>89</v>
      </c>
      <c r="O232" s="4">
        <f t="shared" si="9"/>
        <v>0.23800079333597779</v>
      </c>
      <c r="P232" t="str">
        <f t="shared" si="10"/>
        <v>games</v>
      </c>
      <c r="Q232" t="str">
        <f t="shared" si="11"/>
        <v>video games</v>
      </c>
    </row>
    <row r="233" spans="1:17" x14ac:dyDescent="0.3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t="s">
        <v>74</v>
      </c>
      <c r="G233">
        <v>67</v>
      </c>
      <c r="H233" t="s">
        <v>21</v>
      </c>
      <c r="I233" t="s">
        <v>22</v>
      </c>
      <c r="J233">
        <v>1369112400</v>
      </c>
      <c r="K233">
        <v>1374123600</v>
      </c>
      <c r="L233" t="b">
        <v>0</v>
      </c>
      <c r="M233" t="b">
        <v>0</v>
      </c>
      <c r="N233" t="s">
        <v>33</v>
      </c>
      <c r="O233" s="4">
        <f t="shared" si="9"/>
        <v>1.3036393264530146</v>
      </c>
      <c r="P233" t="str">
        <f t="shared" si="10"/>
        <v>theater</v>
      </c>
      <c r="Q233" t="str">
        <f t="shared" si="11"/>
        <v>plays</v>
      </c>
    </row>
    <row r="234" spans="1:17" x14ac:dyDescent="0.3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t="s">
        <v>20</v>
      </c>
      <c r="G234">
        <v>92</v>
      </c>
      <c r="H234" t="s">
        <v>21</v>
      </c>
      <c r="I234" t="s">
        <v>22</v>
      </c>
      <c r="J234">
        <v>1469422800</v>
      </c>
      <c r="K234">
        <v>1469509200</v>
      </c>
      <c r="L234" t="b">
        <v>0</v>
      </c>
      <c r="M234" t="b">
        <v>0</v>
      </c>
      <c r="N234" t="s">
        <v>33</v>
      </c>
      <c r="O234" s="4">
        <f t="shared" si="9"/>
        <v>0.58389146488064569</v>
      </c>
      <c r="P234" t="str">
        <f t="shared" si="10"/>
        <v>theater</v>
      </c>
      <c r="Q234" t="str">
        <f t="shared" si="11"/>
        <v>plays</v>
      </c>
    </row>
    <row r="235" spans="1:17" x14ac:dyDescent="0.3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t="s">
        <v>20</v>
      </c>
      <c r="G235">
        <v>62</v>
      </c>
      <c r="H235" t="s">
        <v>21</v>
      </c>
      <c r="I235" t="s">
        <v>22</v>
      </c>
      <c r="J235">
        <v>1307854800</v>
      </c>
      <c r="K235">
        <v>1309237200</v>
      </c>
      <c r="L235" t="b">
        <v>0</v>
      </c>
      <c r="M235" t="b">
        <v>0</v>
      </c>
      <c r="N235" t="s">
        <v>71</v>
      </c>
      <c r="O235" s="4">
        <f t="shared" si="9"/>
        <v>0.6333333333333333</v>
      </c>
      <c r="P235" t="str">
        <f t="shared" si="10"/>
        <v>film &amp; video</v>
      </c>
      <c r="Q235" t="str">
        <f t="shared" si="11"/>
        <v>animation</v>
      </c>
    </row>
    <row r="236" spans="1:17" x14ac:dyDescent="0.3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t="s">
        <v>20</v>
      </c>
      <c r="G236">
        <v>149</v>
      </c>
      <c r="H236" t="s">
        <v>107</v>
      </c>
      <c r="I236" t="s">
        <v>108</v>
      </c>
      <c r="J236">
        <v>1503378000</v>
      </c>
      <c r="K236">
        <v>1503982800</v>
      </c>
      <c r="L236" t="b">
        <v>0</v>
      </c>
      <c r="M236" t="b">
        <v>1</v>
      </c>
      <c r="N236" t="s">
        <v>89</v>
      </c>
      <c r="O236" s="4">
        <f t="shared" si="9"/>
        <v>0.91675834250091681</v>
      </c>
      <c r="P236" t="str">
        <f t="shared" si="10"/>
        <v>games</v>
      </c>
      <c r="Q236" t="str">
        <f t="shared" si="11"/>
        <v>video games</v>
      </c>
    </row>
    <row r="237" spans="1:17" ht="31.2" x14ac:dyDescent="0.3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t="s">
        <v>14</v>
      </c>
      <c r="G237">
        <v>92</v>
      </c>
      <c r="H237" t="s">
        <v>21</v>
      </c>
      <c r="I237" t="s">
        <v>22</v>
      </c>
      <c r="J237">
        <v>1486965600</v>
      </c>
      <c r="K237">
        <v>1487397600</v>
      </c>
      <c r="L237" t="b">
        <v>0</v>
      </c>
      <c r="M237" t="b">
        <v>0</v>
      </c>
      <c r="N237" t="s">
        <v>71</v>
      </c>
      <c r="O237" s="4">
        <f t="shared" si="9"/>
        <v>2.3962106436333239</v>
      </c>
      <c r="P237" t="str">
        <f t="shared" si="10"/>
        <v>film &amp; video</v>
      </c>
      <c r="Q237" t="str">
        <f t="shared" si="11"/>
        <v>animation</v>
      </c>
    </row>
    <row r="238" spans="1:17" x14ac:dyDescent="0.3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t="s">
        <v>14</v>
      </c>
      <c r="G238">
        <v>57</v>
      </c>
      <c r="H238" t="s">
        <v>26</v>
      </c>
      <c r="I238" t="s">
        <v>27</v>
      </c>
      <c r="J238">
        <v>1561438800</v>
      </c>
      <c r="K238">
        <v>1562043600</v>
      </c>
      <c r="L238" t="b">
        <v>0</v>
      </c>
      <c r="M238" t="b">
        <v>1</v>
      </c>
      <c r="N238" t="s">
        <v>23</v>
      </c>
      <c r="O238" s="4">
        <f t="shared" si="9"/>
        <v>9.1371732593106643</v>
      </c>
      <c r="P238" t="str">
        <f t="shared" si="10"/>
        <v>music</v>
      </c>
      <c r="Q238" t="str">
        <f t="shared" si="11"/>
        <v>rock</v>
      </c>
    </row>
    <row r="239" spans="1:17" ht="31.2" x14ac:dyDescent="0.3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t="s">
        <v>20</v>
      </c>
      <c r="G239">
        <v>329</v>
      </c>
      <c r="H239" t="s">
        <v>21</v>
      </c>
      <c r="I239" t="s">
        <v>22</v>
      </c>
      <c r="J239">
        <v>1398402000</v>
      </c>
      <c r="K239">
        <v>1398574800</v>
      </c>
      <c r="L239" t="b">
        <v>0</v>
      </c>
      <c r="M239" t="b">
        <v>0</v>
      </c>
      <c r="N239" t="s">
        <v>71</v>
      </c>
      <c r="O239" s="4">
        <f t="shared" si="9"/>
        <v>0.62744568884091212</v>
      </c>
      <c r="P239" t="str">
        <f t="shared" si="10"/>
        <v>film &amp; video</v>
      </c>
      <c r="Q239" t="str">
        <f t="shared" si="11"/>
        <v>animation</v>
      </c>
    </row>
    <row r="240" spans="1:17" x14ac:dyDescent="0.3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t="s">
        <v>20</v>
      </c>
      <c r="G240">
        <v>97</v>
      </c>
      <c r="H240" t="s">
        <v>36</v>
      </c>
      <c r="I240" t="s">
        <v>37</v>
      </c>
      <c r="J240">
        <v>1513231200</v>
      </c>
      <c r="K240">
        <v>1515391200</v>
      </c>
      <c r="L240" t="b">
        <v>0</v>
      </c>
      <c r="M240" t="b">
        <v>1</v>
      </c>
      <c r="N240" t="s">
        <v>33</v>
      </c>
      <c r="O240" s="4">
        <f t="shared" si="9"/>
        <v>0.2367330834484119</v>
      </c>
      <c r="P240" t="str">
        <f t="shared" si="10"/>
        <v>theater</v>
      </c>
      <c r="Q240" t="str">
        <f t="shared" si="11"/>
        <v>plays</v>
      </c>
    </row>
    <row r="241" spans="1:17" ht="31.2" x14ac:dyDescent="0.3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t="s">
        <v>14</v>
      </c>
      <c r="G241">
        <v>41</v>
      </c>
      <c r="H241" t="s">
        <v>21</v>
      </c>
      <c r="I241" t="s">
        <v>22</v>
      </c>
      <c r="J241">
        <v>1440824400</v>
      </c>
      <c r="K241">
        <v>1441170000</v>
      </c>
      <c r="L241" t="b">
        <v>0</v>
      </c>
      <c r="M241" t="b">
        <v>0</v>
      </c>
      <c r="N241" t="s">
        <v>65</v>
      </c>
      <c r="O241" s="4">
        <f t="shared" si="9"/>
        <v>1.0233450591621363</v>
      </c>
      <c r="P241" t="str">
        <f t="shared" si="10"/>
        <v>technology</v>
      </c>
      <c r="Q241" t="str">
        <f t="shared" si="11"/>
        <v>wearables</v>
      </c>
    </row>
    <row r="242" spans="1:17" x14ac:dyDescent="0.3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t="s">
        <v>20</v>
      </c>
      <c r="G242">
        <v>1784</v>
      </c>
      <c r="H242" t="s">
        <v>21</v>
      </c>
      <c r="I242" t="s">
        <v>22</v>
      </c>
      <c r="J242">
        <v>1281070800</v>
      </c>
      <c r="K242">
        <v>1281157200</v>
      </c>
      <c r="L242" t="b">
        <v>0</v>
      </c>
      <c r="M242" t="b">
        <v>0</v>
      </c>
      <c r="N242" t="s">
        <v>33</v>
      </c>
      <c r="O242" s="4">
        <f t="shared" si="9"/>
        <v>0.23878366524804262</v>
      </c>
      <c r="P242" t="str">
        <f t="shared" si="10"/>
        <v>theater</v>
      </c>
      <c r="Q242" t="str">
        <f t="shared" si="11"/>
        <v>plays</v>
      </c>
    </row>
    <row r="243" spans="1:17" ht="31.2" x14ac:dyDescent="0.3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t="s">
        <v>20</v>
      </c>
      <c r="G243">
        <v>1684</v>
      </c>
      <c r="H243" t="s">
        <v>26</v>
      </c>
      <c r="I243" t="s">
        <v>27</v>
      </c>
      <c r="J243">
        <v>1397365200</v>
      </c>
      <c r="K243">
        <v>1398229200</v>
      </c>
      <c r="L243" t="b">
        <v>0</v>
      </c>
      <c r="M243" t="b">
        <v>1</v>
      </c>
      <c r="N243" t="s">
        <v>68</v>
      </c>
      <c r="O243" s="4">
        <f t="shared" si="9"/>
        <v>0.9811971187161167</v>
      </c>
      <c r="P243" t="str">
        <f t="shared" si="10"/>
        <v>publishing</v>
      </c>
      <c r="Q243" t="str">
        <f t="shared" si="11"/>
        <v>nonfiction</v>
      </c>
    </row>
    <row r="244" spans="1:17" x14ac:dyDescent="0.3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t="s">
        <v>20</v>
      </c>
      <c r="G244">
        <v>250</v>
      </c>
      <c r="H244" t="s">
        <v>21</v>
      </c>
      <c r="I244" t="s">
        <v>22</v>
      </c>
      <c r="J244">
        <v>1494392400</v>
      </c>
      <c r="K244">
        <v>1495256400</v>
      </c>
      <c r="L244" t="b">
        <v>0</v>
      </c>
      <c r="M244" t="b">
        <v>1</v>
      </c>
      <c r="N244" t="s">
        <v>23</v>
      </c>
      <c r="O244" s="4">
        <f t="shared" si="9"/>
        <v>0.78292478329760462</v>
      </c>
      <c r="P244" t="str">
        <f t="shared" si="10"/>
        <v>music</v>
      </c>
      <c r="Q244" t="str">
        <f t="shared" si="11"/>
        <v>rock</v>
      </c>
    </row>
    <row r="245" spans="1:17" ht="31.2" x14ac:dyDescent="0.3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t="s">
        <v>20</v>
      </c>
      <c r="G245">
        <v>238</v>
      </c>
      <c r="H245" t="s">
        <v>21</v>
      </c>
      <c r="I245" t="s">
        <v>22</v>
      </c>
      <c r="J245">
        <v>1520143200</v>
      </c>
      <c r="K245">
        <v>1520402400</v>
      </c>
      <c r="L245" t="b">
        <v>0</v>
      </c>
      <c r="M245" t="b">
        <v>0</v>
      </c>
      <c r="N245" t="s">
        <v>33</v>
      </c>
      <c r="O245" s="4">
        <f t="shared" si="9"/>
        <v>0.224609375</v>
      </c>
      <c r="P245" t="str">
        <f t="shared" si="10"/>
        <v>theater</v>
      </c>
      <c r="Q245" t="str">
        <f t="shared" si="11"/>
        <v>plays</v>
      </c>
    </row>
    <row r="246" spans="1:17" ht="31.2" x14ac:dyDescent="0.3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t="s">
        <v>20</v>
      </c>
      <c r="G246">
        <v>53</v>
      </c>
      <c r="H246" t="s">
        <v>21</v>
      </c>
      <c r="I246" t="s">
        <v>22</v>
      </c>
      <c r="J246">
        <v>1405314000</v>
      </c>
      <c r="K246">
        <v>1409806800</v>
      </c>
      <c r="L246" t="b">
        <v>0</v>
      </c>
      <c r="M246" t="b">
        <v>0</v>
      </c>
      <c r="N246" t="s">
        <v>33</v>
      </c>
      <c r="O246" s="4">
        <f t="shared" si="9"/>
        <v>0.17552657973921765</v>
      </c>
      <c r="P246" t="str">
        <f t="shared" si="10"/>
        <v>theater</v>
      </c>
      <c r="Q246" t="str">
        <f t="shared" si="11"/>
        <v>plays</v>
      </c>
    </row>
    <row r="247" spans="1:17" x14ac:dyDescent="0.3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t="s">
        <v>20</v>
      </c>
      <c r="G247">
        <v>214</v>
      </c>
      <c r="H247" t="s">
        <v>21</v>
      </c>
      <c r="I247" t="s">
        <v>22</v>
      </c>
      <c r="J247">
        <v>1396846800</v>
      </c>
      <c r="K247">
        <v>1396933200</v>
      </c>
      <c r="L247" t="b">
        <v>0</v>
      </c>
      <c r="M247" t="b">
        <v>0</v>
      </c>
      <c r="N247" t="s">
        <v>33</v>
      </c>
      <c r="O247" s="4">
        <f t="shared" si="9"/>
        <v>0.19633064789113805</v>
      </c>
      <c r="P247" t="str">
        <f t="shared" si="10"/>
        <v>theater</v>
      </c>
      <c r="Q247" t="str">
        <f t="shared" si="11"/>
        <v>plays</v>
      </c>
    </row>
    <row r="248" spans="1:17" ht="31.2" x14ac:dyDescent="0.3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t="s">
        <v>20</v>
      </c>
      <c r="G248">
        <v>222</v>
      </c>
      <c r="H248" t="s">
        <v>21</v>
      </c>
      <c r="I248" t="s">
        <v>22</v>
      </c>
      <c r="J248">
        <v>1375678800</v>
      </c>
      <c r="K248">
        <v>1376024400</v>
      </c>
      <c r="L248" t="b">
        <v>0</v>
      </c>
      <c r="M248" t="b">
        <v>0</v>
      </c>
      <c r="N248" t="s">
        <v>28</v>
      </c>
      <c r="O248" s="4">
        <f t="shared" si="9"/>
        <v>0.30718820397296742</v>
      </c>
      <c r="P248" t="str">
        <f t="shared" si="10"/>
        <v>technology</v>
      </c>
      <c r="Q248" t="str">
        <f t="shared" si="11"/>
        <v>web</v>
      </c>
    </row>
    <row r="249" spans="1:17" x14ac:dyDescent="0.3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t="s">
        <v>20</v>
      </c>
      <c r="G249">
        <v>1884</v>
      </c>
      <c r="H249" t="s">
        <v>21</v>
      </c>
      <c r="I249" t="s">
        <v>22</v>
      </c>
      <c r="J249">
        <v>1482386400</v>
      </c>
      <c r="K249">
        <v>1483682400</v>
      </c>
      <c r="L249" t="b">
        <v>0</v>
      </c>
      <c r="M249" t="b">
        <v>1</v>
      </c>
      <c r="N249" t="s">
        <v>119</v>
      </c>
      <c r="O249" s="4">
        <f t="shared" si="9"/>
        <v>0.10722524883839314</v>
      </c>
      <c r="P249" t="str">
        <f t="shared" si="10"/>
        <v>publishing</v>
      </c>
      <c r="Q249" t="str">
        <f t="shared" si="11"/>
        <v>fiction</v>
      </c>
    </row>
    <row r="250" spans="1:17" x14ac:dyDescent="0.3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t="s">
        <v>20</v>
      </c>
      <c r="G250">
        <v>218</v>
      </c>
      <c r="H250" t="s">
        <v>26</v>
      </c>
      <c r="I250" t="s">
        <v>27</v>
      </c>
      <c r="J250">
        <v>1420005600</v>
      </c>
      <c r="K250">
        <v>1420437600</v>
      </c>
      <c r="L250" t="b">
        <v>0</v>
      </c>
      <c r="M250" t="b">
        <v>0</v>
      </c>
      <c r="N250" t="s">
        <v>292</v>
      </c>
      <c r="O250" s="4">
        <f t="shared" si="9"/>
        <v>0.47317408227123559</v>
      </c>
      <c r="P250" t="str">
        <f t="shared" si="10"/>
        <v>games</v>
      </c>
      <c r="Q250" t="str">
        <f t="shared" si="11"/>
        <v>mobile games</v>
      </c>
    </row>
    <row r="251" spans="1:17" x14ac:dyDescent="0.3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t="s">
        <v>20</v>
      </c>
      <c r="G251">
        <v>6465</v>
      </c>
      <c r="H251" t="s">
        <v>21</v>
      </c>
      <c r="I251" t="s">
        <v>22</v>
      </c>
      <c r="J251">
        <v>1420178400</v>
      </c>
      <c r="K251">
        <v>1420783200</v>
      </c>
      <c r="L251" t="b">
        <v>0</v>
      </c>
      <c r="M251" t="b">
        <v>0</v>
      </c>
      <c r="N251" t="s">
        <v>206</v>
      </c>
      <c r="O251" s="4">
        <f t="shared" si="9"/>
        <v>0.36586454088461884</v>
      </c>
      <c r="P251" t="str">
        <f t="shared" si="10"/>
        <v>publishing</v>
      </c>
      <c r="Q251" t="str">
        <f t="shared" si="11"/>
        <v>translations</v>
      </c>
    </row>
    <row r="252" spans="1:17" x14ac:dyDescent="0.3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t="s">
        <v>14</v>
      </c>
      <c r="G252">
        <v>1</v>
      </c>
      <c r="H252" t="s">
        <v>21</v>
      </c>
      <c r="I252" t="s">
        <v>22</v>
      </c>
      <c r="J252">
        <v>1264399200</v>
      </c>
      <c r="K252">
        <v>1267423200</v>
      </c>
      <c r="L252" t="b">
        <v>0</v>
      </c>
      <c r="M252" t="b">
        <v>0</v>
      </c>
      <c r="N252" t="s">
        <v>23</v>
      </c>
      <c r="O252" s="4">
        <f t="shared" si="9"/>
        <v>33.333333333333336</v>
      </c>
      <c r="P252" t="str">
        <f t="shared" si="10"/>
        <v>music</v>
      </c>
      <c r="Q252" t="str">
        <f t="shared" si="11"/>
        <v>rock</v>
      </c>
    </row>
    <row r="253" spans="1:17" x14ac:dyDescent="0.3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t="s">
        <v>14</v>
      </c>
      <c r="G253">
        <v>101</v>
      </c>
      <c r="H253" t="s">
        <v>21</v>
      </c>
      <c r="I253" t="s">
        <v>22</v>
      </c>
      <c r="J253">
        <v>1355032800</v>
      </c>
      <c r="K253">
        <v>1355205600</v>
      </c>
      <c r="L253" t="b">
        <v>0</v>
      </c>
      <c r="M253" t="b">
        <v>0</v>
      </c>
      <c r="N253" t="s">
        <v>33</v>
      </c>
      <c r="O253" s="4">
        <f t="shared" si="9"/>
        <v>1.8489583333333333</v>
      </c>
      <c r="P253" t="str">
        <f t="shared" si="10"/>
        <v>theater</v>
      </c>
      <c r="Q253" t="str">
        <f t="shared" si="11"/>
        <v>plays</v>
      </c>
    </row>
    <row r="254" spans="1:17" ht="31.2" x14ac:dyDescent="0.3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t="s">
        <v>20</v>
      </c>
      <c r="G254">
        <v>59</v>
      </c>
      <c r="H254" t="s">
        <v>21</v>
      </c>
      <c r="I254" t="s">
        <v>22</v>
      </c>
      <c r="J254">
        <v>1382677200</v>
      </c>
      <c r="K254">
        <v>1383109200</v>
      </c>
      <c r="L254" t="b">
        <v>0</v>
      </c>
      <c r="M254" t="b">
        <v>0</v>
      </c>
      <c r="N254" t="s">
        <v>33</v>
      </c>
      <c r="O254" s="4">
        <f t="shared" si="9"/>
        <v>0.1596678907871627</v>
      </c>
      <c r="P254" t="str">
        <f t="shared" si="10"/>
        <v>theater</v>
      </c>
      <c r="Q254" t="str">
        <f t="shared" si="11"/>
        <v>plays</v>
      </c>
    </row>
    <row r="255" spans="1:17" x14ac:dyDescent="0.3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t="s">
        <v>14</v>
      </c>
      <c r="G255">
        <v>1335</v>
      </c>
      <c r="H255" t="s">
        <v>15</v>
      </c>
      <c r="I255" t="s">
        <v>16</v>
      </c>
      <c r="J255">
        <v>1302238800</v>
      </c>
      <c r="K255">
        <v>1303275600</v>
      </c>
      <c r="L255" t="b">
        <v>0</v>
      </c>
      <c r="M255" t="b">
        <v>0</v>
      </c>
      <c r="N255" t="s">
        <v>53</v>
      </c>
      <c r="O255" s="4">
        <f t="shared" si="9"/>
        <v>1.1233254130416694</v>
      </c>
      <c r="P255" t="str">
        <f t="shared" si="10"/>
        <v>film &amp; video</v>
      </c>
      <c r="Q255" t="str">
        <f t="shared" si="11"/>
        <v>drama</v>
      </c>
    </row>
    <row r="256" spans="1:17" ht="31.2" x14ac:dyDescent="0.3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t="s">
        <v>20</v>
      </c>
      <c r="G256">
        <v>88</v>
      </c>
      <c r="H256" t="s">
        <v>21</v>
      </c>
      <c r="I256" t="s">
        <v>22</v>
      </c>
      <c r="J256">
        <v>1487656800</v>
      </c>
      <c r="K256">
        <v>1487829600</v>
      </c>
      <c r="L256" t="b">
        <v>0</v>
      </c>
      <c r="M256" t="b">
        <v>0</v>
      </c>
      <c r="N256" t="s">
        <v>68</v>
      </c>
      <c r="O256" s="4">
        <f t="shared" si="9"/>
        <v>0.54085831863609646</v>
      </c>
      <c r="P256" t="str">
        <f t="shared" si="10"/>
        <v>publishing</v>
      </c>
      <c r="Q256" t="str">
        <f t="shared" si="11"/>
        <v>nonfiction</v>
      </c>
    </row>
    <row r="257" spans="1:17" ht="31.2" x14ac:dyDescent="0.3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t="s">
        <v>20</v>
      </c>
      <c r="G257">
        <v>1697</v>
      </c>
      <c r="H257" t="s">
        <v>21</v>
      </c>
      <c r="I257" t="s">
        <v>22</v>
      </c>
      <c r="J257">
        <v>1297836000</v>
      </c>
      <c r="K257">
        <v>1298268000</v>
      </c>
      <c r="L257" t="b">
        <v>0</v>
      </c>
      <c r="M257" t="b">
        <v>1</v>
      </c>
      <c r="N257" t="s">
        <v>23</v>
      </c>
      <c r="O257" s="4">
        <f t="shared" si="9"/>
        <v>0.83217036233007702</v>
      </c>
      <c r="P257" t="str">
        <f t="shared" si="10"/>
        <v>music</v>
      </c>
      <c r="Q257" t="str">
        <f t="shared" si="11"/>
        <v>rock</v>
      </c>
    </row>
    <row r="258" spans="1:17" x14ac:dyDescent="0.3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t="s">
        <v>14</v>
      </c>
      <c r="G258">
        <v>15</v>
      </c>
      <c r="H258" t="s">
        <v>40</v>
      </c>
      <c r="I258" t="s">
        <v>41</v>
      </c>
      <c r="J258">
        <v>1453615200</v>
      </c>
      <c r="K258">
        <v>1456812000</v>
      </c>
      <c r="L258" t="b">
        <v>0</v>
      </c>
      <c r="M258" t="b">
        <v>0</v>
      </c>
      <c r="N258" t="s">
        <v>23</v>
      </c>
      <c r="O258" s="4">
        <f t="shared" si="9"/>
        <v>4.2752867570385815</v>
      </c>
      <c r="P258" t="str">
        <f t="shared" si="10"/>
        <v>music</v>
      </c>
      <c r="Q258" t="str">
        <f t="shared" si="11"/>
        <v>rock</v>
      </c>
    </row>
    <row r="259" spans="1:17" x14ac:dyDescent="0.3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t="s">
        <v>20</v>
      </c>
      <c r="G259">
        <v>92</v>
      </c>
      <c r="H259" t="s">
        <v>21</v>
      </c>
      <c r="I259" t="s">
        <v>22</v>
      </c>
      <c r="J259">
        <v>1362463200</v>
      </c>
      <c r="K259">
        <v>1363669200</v>
      </c>
      <c r="L259" t="b">
        <v>0</v>
      </c>
      <c r="M259" t="b">
        <v>0</v>
      </c>
      <c r="N259" t="s">
        <v>33</v>
      </c>
      <c r="O259" s="4">
        <f t="shared" ref="O259:O322" si="12">D259/E259</f>
        <v>0.68493150684931503</v>
      </c>
      <c r="P259" t="str">
        <f t="shared" ref="P259:P322" si="13">LEFT(N259,SEARCH("/",N259) -1)</f>
        <v>theater</v>
      </c>
      <c r="Q259" t="str">
        <f t="shared" ref="Q259:Q322" si="14">RIGHT(N259,LEN(N259)-SEARCH("/",N259))</f>
        <v>plays</v>
      </c>
    </row>
    <row r="260" spans="1:17" x14ac:dyDescent="0.3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t="s">
        <v>20</v>
      </c>
      <c r="G260">
        <v>186</v>
      </c>
      <c r="H260" t="s">
        <v>21</v>
      </c>
      <c r="I260" t="s">
        <v>22</v>
      </c>
      <c r="J260">
        <v>1481176800</v>
      </c>
      <c r="K260">
        <v>1482904800</v>
      </c>
      <c r="L260" t="b">
        <v>0</v>
      </c>
      <c r="M260" t="b">
        <v>1</v>
      </c>
      <c r="N260" t="s">
        <v>33</v>
      </c>
      <c r="O260" s="4">
        <f t="shared" si="12"/>
        <v>0.37246722288438616</v>
      </c>
      <c r="P260" t="str">
        <f t="shared" si="13"/>
        <v>theater</v>
      </c>
      <c r="Q260" t="str">
        <f t="shared" si="14"/>
        <v>plays</v>
      </c>
    </row>
    <row r="261" spans="1:17" ht="31.2" x14ac:dyDescent="0.3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t="s">
        <v>20</v>
      </c>
      <c r="G261">
        <v>138</v>
      </c>
      <c r="H261" t="s">
        <v>21</v>
      </c>
      <c r="I261" t="s">
        <v>22</v>
      </c>
      <c r="J261">
        <v>1354946400</v>
      </c>
      <c r="K261">
        <v>1356588000</v>
      </c>
      <c r="L261" t="b">
        <v>1</v>
      </c>
      <c r="M261" t="b">
        <v>0</v>
      </c>
      <c r="N261" t="s">
        <v>122</v>
      </c>
      <c r="O261" s="4">
        <f t="shared" si="12"/>
        <v>0.16736401673640167</v>
      </c>
      <c r="P261" t="str">
        <f t="shared" si="13"/>
        <v>photography</v>
      </c>
      <c r="Q261" t="str">
        <f t="shared" si="14"/>
        <v>photography books</v>
      </c>
    </row>
    <row r="262" spans="1:17" x14ac:dyDescent="0.3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t="s">
        <v>20</v>
      </c>
      <c r="G262">
        <v>261</v>
      </c>
      <c r="H262" t="s">
        <v>21</v>
      </c>
      <c r="I262" t="s">
        <v>22</v>
      </c>
      <c r="J262">
        <v>1348808400</v>
      </c>
      <c r="K262">
        <v>1349845200</v>
      </c>
      <c r="L262" t="b">
        <v>0</v>
      </c>
      <c r="M262" t="b">
        <v>0</v>
      </c>
      <c r="N262" t="s">
        <v>23</v>
      </c>
      <c r="O262" s="4">
        <f t="shared" si="12"/>
        <v>0.63412179164569704</v>
      </c>
      <c r="P262" t="str">
        <f t="shared" si="13"/>
        <v>music</v>
      </c>
      <c r="Q262" t="str">
        <f t="shared" si="14"/>
        <v>rock</v>
      </c>
    </row>
    <row r="263" spans="1:17" ht="31.2" x14ac:dyDescent="0.3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t="s">
        <v>14</v>
      </c>
      <c r="G263">
        <v>454</v>
      </c>
      <c r="H263" t="s">
        <v>21</v>
      </c>
      <c r="I263" t="s">
        <v>22</v>
      </c>
      <c r="J263">
        <v>1282712400</v>
      </c>
      <c r="K263">
        <v>1283058000</v>
      </c>
      <c r="L263" t="b">
        <v>0</v>
      </c>
      <c r="M263" t="b">
        <v>1</v>
      </c>
      <c r="N263" t="s">
        <v>23</v>
      </c>
      <c r="O263" s="4">
        <f t="shared" si="12"/>
        <v>3.2049576093981673</v>
      </c>
      <c r="P263" t="str">
        <f t="shared" si="13"/>
        <v>music</v>
      </c>
      <c r="Q263" t="str">
        <f t="shared" si="14"/>
        <v>rock</v>
      </c>
    </row>
    <row r="264" spans="1:17" x14ac:dyDescent="0.3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t="s">
        <v>20</v>
      </c>
      <c r="G264">
        <v>107</v>
      </c>
      <c r="H264" t="s">
        <v>21</v>
      </c>
      <c r="I264" t="s">
        <v>22</v>
      </c>
      <c r="J264">
        <v>1301979600</v>
      </c>
      <c r="K264">
        <v>1304226000</v>
      </c>
      <c r="L264" t="b">
        <v>0</v>
      </c>
      <c r="M264" t="b">
        <v>1</v>
      </c>
      <c r="N264" t="s">
        <v>60</v>
      </c>
      <c r="O264" s="4">
        <f t="shared" si="12"/>
        <v>0.31906906906906907</v>
      </c>
      <c r="P264" t="str">
        <f t="shared" si="13"/>
        <v>music</v>
      </c>
      <c r="Q264" t="str">
        <f t="shared" si="14"/>
        <v>indie rock</v>
      </c>
    </row>
    <row r="265" spans="1:17" x14ac:dyDescent="0.3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t="s">
        <v>20</v>
      </c>
      <c r="G265">
        <v>199</v>
      </c>
      <c r="H265" t="s">
        <v>21</v>
      </c>
      <c r="I265" t="s">
        <v>22</v>
      </c>
      <c r="J265">
        <v>1263016800</v>
      </c>
      <c r="K265">
        <v>1263016800</v>
      </c>
      <c r="L265" t="b">
        <v>0</v>
      </c>
      <c r="M265" t="b">
        <v>0</v>
      </c>
      <c r="N265" t="s">
        <v>122</v>
      </c>
      <c r="O265" s="4">
        <f t="shared" si="12"/>
        <v>0.26961695797694313</v>
      </c>
      <c r="P265" t="str">
        <f t="shared" si="13"/>
        <v>photography</v>
      </c>
      <c r="Q265" t="str">
        <f t="shared" si="14"/>
        <v>photography books</v>
      </c>
    </row>
    <row r="266" spans="1:17" x14ac:dyDescent="0.3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t="s">
        <v>20</v>
      </c>
      <c r="G266">
        <v>5512</v>
      </c>
      <c r="H266" t="s">
        <v>21</v>
      </c>
      <c r="I266" t="s">
        <v>22</v>
      </c>
      <c r="J266">
        <v>1360648800</v>
      </c>
      <c r="K266">
        <v>1362031200</v>
      </c>
      <c r="L266" t="b">
        <v>0</v>
      </c>
      <c r="M266" t="b">
        <v>0</v>
      </c>
      <c r="N266" t="s">
        <v>33</v>
      </c>
      <c r="O266" s="4">
        <f t="shared" si="12"/>
        <v>0.27573696145124715</v>
      </c>
      <c r="P266" t="str">
        <f t="shared" si="13"/>
        <v>theater</v>
      </c>
      <c r="Q266" t="str">
        <f t="shared" si="14"/>
        <v>plays</v>
      </c>
    </row>
    <row r="267" spans="1:17" x14ac:dyDescent="0.3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t="s">
        <v>20</v>
      </c>
      <c r="G267">
        <v>86</v>
      </c>
      <c r="H267" t="s">
        <v>21</v>
      </c>
      <c r="I267" t="s">
        <v>22</v>
      </c>
      <c r="J267">
        <v>1451800800</v>
      </c>
      <c r="K267">
        <v>1455602400</v>
      </c>
      <c r="L267" t="b">
        <v>0</v>
      </c>
      <c r="M267" t="b">
        <v>0</v>
      </c>
      <c r="N267" t="s">
        <v>33</v>
      </c>
      <c r="O267" s="4">
        <f t="shared" si="12"/>
        <v>0.81246891062841986</v>
      </c>
      <c r="P267" t="str">
        <f t="shared" si="13"/>
        <v>theater</v>
      </c>
      <c r="Q267" t="str">
        <f t="shared" si="14"/>
        <v>plays</v>
      </c>
    </row>
    <row r="268" spans="1:17" x14ac:dyDescent="0.3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t="s">
        <v>14</v>
      </c>
      <c r="G268">
        <v>3182</v>
      </c>
      <c r="H268" t="s">
        <v>107</v>
      </c>
      <c r="I268" t="s">
        <v>108</v>
      </c>
      <c r="J268">
        <v>1415340000</v>
      </c>
      <c r="K268">
        <v>1418191200</v>
      </c>
      <c r="L268" t="b">
        <v>0</v>
      </c>
      <c r="M268" t="b">
        <v>1</v>
      </c>
      <c r="N268" t="s">
        <v>159</v>
      </c>
      <c r="O268" s="4">
        <f t="shared" si="12"/>
        <v>1.3026472026262486</v>
      </c>
      <c r="P268" t="str">
        <f t="shared" si="13"/>
        <v>music</v>
      </c>
      <c r="Q268" t="str">
        <f t="shared" si="14"/>
        <v>jazz</v>
      </c>
    </row>
    <row r="269" spans="1:17" x14ac:dyDescent="0.3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t="s">
        <v>20</v>
      </c>
      <c r="G269">
        <v>2768</v>
      </c>
      <c r="H269" t="s">
        <v>26</v>
      </c>
      <c r="I269" t="s">
        <v>27</v>
      </c>
      <c r="J269">
        <v>1351054800</v>
      </c>
      <c r="K269">
        <v>1352440800</v>
      </c>
      <c r="L269" t="b">
        <v>0</v>
      </c>
      <c r="M269" t="b">
        <v>0</v>
      </c>
      <c r="N269" t="s">
        <v>33</v>
      </c>
      <c r="O269" s="4">
        <f t="shared" si="12"/>
        <v>0.42804530609408659</v>
      </c>
      <c r="P269" t="str">
        <f t="shared" si="13"/>
        <v>theater</v>
      </c>
      <c r="Q269" t="str">
        <f t="shared" si="14"/>
        <v>plays</v>
      </c>
    </row>
    <row r="270" spans="1:17" x14ac:dyDescent="0.3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t="s">
        <v>20</v>
      </c>
      <c r="G270">
        <v>48</v>
      </c>
      <c r="H270" t="s">
        <v>21</v>
      </c>
      <c r="I270" t="s">
        <v>22</v>
      </c>
      <c r="J270">
        <v>1349326800</v>
      </c>
      <c r="K270">
        <v>1353304800</v>
      </c>
      <c r="L270" t="b">
        <v>0</v>
      </c>
      <c r="M270" t="b">
        <v>0</v>
      </c>
      <c r="N270" t="s">
        <v>42</v>
      </c>
      <c r="O270" s="4">
        <f t="shared" si="12"/>
        <v>0.55391432791728212</v>
      </c>
      <c r="P270" t="str">
        <f t="shared" si="13"/>
        <v>film &amp; video</v>
      </c>
      <c r="Q270" t="str">
        <f t="shared" si="14"/>
        <v>documentary</v>
      </c>
    </row>
    <row r="271" spans="1:17" x14ac:dyDescent="0.3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t="s">
        <v>20</v>
      </c>
      <c r="G271">
        <v>87</v>
      </c>
      <c r="H271" t="s">
        <v>21</v>
      </c>
      <c r="I271" t="s">
        <v>22</v>
      </c>
      <c r="J271">
        <v>1548914400</v>
      </c>
      <c r="K271">
        <v>1550728800</v>
      </c>
      <c r="L271" t="b">
        <v>0</v>
      </c>
      <c r="M271" t="b">
        <v>0</v>
      </c>
      <c r="N271" t="s">
        <v>269</v>
      </c>
      <c r="O271" s="4">
        <f t="shared" si="12"/>
        <v>0.39583804569102016</v>
      </c>
      <c r="P271" t="str">
        <f t="shared" si="13"/>
        <v>film &amp; video</v>
      </c>
      <c r="Q271" t="str">
        <f t="shared" si="14"/>
        <v>television</v>
      </c>
    </row>
    <row r="272" spans="1:17" x14ac:dyDescent="0.3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t="s">
        <v>74</v>
      </c>
      <c r="G272">
        <v>1890</v>
      </c>
      <c r="H272" t="s">
        <v>21</v>
      </c>
      <c r="I272" t="s">
        <v>22</v>
      </c>
      <c r="J272">
        <v>1291269600</v>
      </c>
      <c r="K272">
        <v>1291442400</v>
      </c>
      <c r="L272" t="b">
        <v>0</v>
      </c>
      <c r="M272" t="b">
        <v>0</v>
      </c>
      <c r="N272" t="s">
        <v>89</v>
      </c>
      <c r="O272" s="4">
        <f t="shared" si="12"/>
        <v>3.6796445196783751</v>
      </c>
      <c r="P272" t="str">
        <f t="shared" si="13"/>
        <v>games</v>
      </c>
      <c r="Q272" t="str">
        <f t="shared" si="14"/>
        <v>video games</v>
      </c>
    </row>
    <row r="273" spans="1:17" ht="31.2" x14ac:dyDescent="0.3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t="s">
        <v>47</v>
      </c>
      <c r="G273">
        <v>61</v>
      </c>
      <c r="H273" t="s">
        <v>21</v>
      </c>
      <c r="I273" t="s">
        <v>22</v>
      </c>
      <c r="J273">
        <v>1449468000</v>
      </c>
      <c r="K273">
        <v>1452146400</v>
      </c>
      <c r="L273" t="b">
        <v>0</v>
      </c>
      <c r="M273" t="b">
        <v>0</v>
      </c>
      <c r="N273" t="s">
        <v>122</v>
      </c>
      <c r="O273" s="4">
        <f t="shared" si="12"/>
        <v>78.699436763952889</v>
      </c>
      <c r="P273" t="str">
        <f t="shared" si="13"/>
        <v>photography</v>
      </c>
      <c r="Q273" t="str">
        <f t="shared" si="14"/>
        <v>photography books</v>
      </c>
    </row>
    <row r="274" spans="1:17" x14ac:dyDescent="0.3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t="s">
        <v>20</v>
      </c>
      <c r="G274">
        <v>1894</v>
      </c>
      <c r="H274" t="s">
        <v>21</v>
      </c>
      <c r="I274" t="s">
        <v>22</v>
      </c>
      <c r="J274">
        <v>1562734800</v>
      </c>
      <c r="K274">
        <v>1564894800</v>
      </c>
      <c r="L274" t="b">
        <v>0</v>
      </c>
      <c r="M274" t="b">
        <v>1</v>
      </c>
      <c r="N274" t="s">
        <v>33</v>
      </c>
      <c r="O274" s="4">
        <f t="shared" si="12"/>
        <v>0.32893678105427138</v>
      </c>
      <c r="P274" t="str">
        <f t="shared" si="13"/>
        <v>theater</v>
      </c>
      <c r="Q274" t="str">
        <f t="shared" si="14"/>
        <v>plays</v>
      </c>
    </row>
    <row r="275" spans="1:17" x14ac:dyDescent="0.3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t="s">
        <v>20</v>
      </c>
      <c r="G275">
        <v>282</v>
      </c>
      <c r="H275" t="s">
        <v>15</v>
      </c>
      <c r="I275" t="s">
        <v>16</v>
      </c>
      <c r="J275">
        <v>1505624400</v>
      </c>
      <c r="K275">
        <v>1505883600</v>
      </c>
      <c r="L275" t="b">
        <v>0</v>
      </c>
      <c r="M275" t="b">
        <v>0</v>
      </c>
      <c r="N275" t="s">
        <v>33</v>
      </c>
      <c r="O275" s="4">
        <f t="shared" si="12"/>
        <v>0.72869955156950672</v>
      </c>
      <c r="P275" t="str">
        <f t="shared" si="13"/>
        <v>theater</v>
      </c>
      <c r="Q275" t="str">
        <f t="shared" si="14"/>
        <v>plays</v>
      </c>
    </row>
    <row r="276" spans="1:17" ht="31.2" x14ac:dyDescent="0.3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t="s">
        <v>14</v>
      </c>
      <c r="G276">
        <v>15</v>
      </c>
      <c r="H276" t="s">
        <v>21</v>
      </c>
      <c r="I276" t="s">
        <v>22</v>
      </c>
      <c r="J276">
        <v>1509948000</v>
      </c>
      <c r="K276">
        <v>1510380000</v>
      </c>
      <c r="L276" t="b">
        <v>0</v>
      </c>
      <c r="M276" t="b">
        <v>0</v>
      </c>
      <c r="N276" t="s">
        <v>33</v>
      </c>
      <c r="O276" s="4">
        <f t="shared" si="12"/>
        <v>3.1047865459249677</v>
      </c>
      <c r="P276" t="str">
        <f t="shared" si="13"/>
        <v>theater</v>
      </c>
      <c r="Q276" t="str">
        <f t="shared" si="14"/>
        <v>plays</v>
      </c>
    </row>
    <row r="277" spans="1:17" ht="31.2" x14ac:dyDescent="0.3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t="s">
        <v>20</v>
      </c>
      <c r="G277">
        <v>116</v>
      </c>
      <c r="H277" t="s">
        <v>21</v>
      </c>
      <c r="I277" t="s">
        <v>22</v>
      </c>
      <c r="J277">
        <v>1554526800</v>
      </c>
      <c r="K277">
        <v>1555218000</v>
      </c>
      <c r="L277" t="b">
        <v>0</v>
      </c>
      <c r="M277" t="b">
        <v>0</v>
      </c>
      <c r="N277" t="s">
        <v>206</v>
      </c>
      <c r="O277" s="4">
        <f t="shared" si="12"/>
        <v>0.41405669391655164</v>
      </c>
      <c r="P277" t="str">
        <f t="shared" si="13"/>
        <v>publishing</v>
      </c>
      <c r="Q277" t="str">
        <f t="shared" si="14"/>
        <v>translations</v>
      </c>
    </row>
    <row r="278" spans="1:17" x14ac:dyDescent="0.3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t="s">
        <v>14</v>
      </c>
      <c r="G278">
        <v>133</v>
      </c>
      <c r="H278" t="s">
        <v>21</v>
      </c>
      <c r="I278" t="s">
        <v>22</v>
      </c>
      <c r="J278">
        <v>1334811600</v>
      </c>
      <c r="K278">
        <v>1335243600</v>
      </c>
      <c r="L278" t="b">
        <v>0</v>
      </c>
      <c r="M278" t="b">
        <v>1</v>
      </c>
      <c r="N278" t="s">
        <v>89</v>
      </c>
      <c r="O278" s="4">
        <f t="shared" si="12"/>
        <v>1.0330578512396693</v>
      </c>
      <c r="P278" t="str">
        <f t="shared" si="13"/>
        <v>games</v>
      </c>
      <c r="Q278" t="str">
        <f t="shared" si="14"/>
        <v>video games</v>
      </c>
    </row>
    <row r="279" spans="1:17" ht="31.2" x14ac:dyDescent="0.3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t="s">
        <v>20</v>
      </c>
      <c r="G279">
        <v>83</v>
      </c>
      <c r="H279" t="s">
        <v>21</v>
      </c>
      <c r="I279" t="s">
        <v>22</v>
      </c>
      <c r="J279">
        <v>1279515600</v>
      </c>
      <c r="K279">
        <v>1279688400</v>
      </c>
      <c r="L279" t="b">
        <v>0</v>
      </c>
      <c r="M279" t="b">
        <v>0</v>
      </c>
      <c r="N279" t="s">
        <v>33</v>
      </c>
      <c r="O279" s="4">
        <f t="shared" si="12"/>
        <v>9.3770931011386477E-2</v>
      </c>
      <c r="P279" t="str">
        <f t="shared" si="13"/>
        <v>theater</v>
      </c>
      <c r="Q279" t="str">
        <f t="shared" si="14"/>
        <v>plays</v>
      </c>
    </row>
    <row r="280" spans="1:17" x14ac:dyDescent="0.3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t="s">
        <v>20</v>
      </c>
      <c r="G280">
        <v>91</v>
      </c>
      <c r="H280" t="s">
        <v>21</v>
      </c>
      <c r="I280" t="s">
        <v>22</v>
      </c>
      <c r="J280">
        <v>1353909600</v>
      </c>
      <c r="K280">
        <v>1356069600</v>
      </c>
      <c r="L280" t="b">
        <v>0</v>
      </c>
      <c r="M280" t="b">
        <v>0</v>
      </c>
      <c r="N280" t="s">
        <v>28</v>
      </c>
      <c r="O280" s="4">
        <f t="shared" si="12"/>
        <v>0.30685305148312308</v>
      </c>
      <c r="P280" t="str">
        <f t="shared" si="13"/>
        <v>technology</v>
      </c>
      <c r="Q280" t="str">
        <f t="shared" si="14"/>
        <v>web</v>
      </c>
    </row>
    <row r="281" spans="1:17" ht="31.2" x14ac:dyDescent="0.3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t="s">
        <v>20</v>
      </c>
      <c r="G281">
        <v>546</v>
      </c>
      <c r="H281" t="s">
        <v>21</v>
      </c>
      <c r="I281" t="s">
        <v>22</v>
      </c>
      <c r="J281">
        <v>1535950800</v>
      </c>
      <c r="K281">
        <v>1536210000</v>
      </c>
      <c r="L281" t="b">
        <v>0</v>
      </c>
      <c r="M281" t="b">
        <v>0</v>
      </c>
      <c r="N281" t="s">
        <v>33</v>
      </c>
      <c r="O281" s="4">
        <f t="shared" si="12"/>
        <v>0.58582308142940831</v>
      </c>
      <c r="P281" t="str">
        <f t="shared" si="13"/>
        <v>theater</v>
      </c>
      <c r="Q281" t="str">
        <f t="shared" si="14"/>
        <v>plays</v>
      </c>
    </row>
    <row r="282" spans="1:17" ht="31.2" x14ac:dyDescent="0.3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t="s">
        <v>20</v>
      </c>
      <c r="G282">
        <v>393</v>
      </c>
      <c r="H282" t="s">
        <v>21</v>
      </c>
      <c r="I282" t="s">
        <v>22</v>
      </c>
      <c r="J282">
        <v>1511244000</v>
      </c>
      <c r="K282">
        <v>1511762400</v>
      </c>
      <c r="L282" t="b">
        <v>0</v>
      </c>
      <c r="M282" t="b">
        <v>0</v>
      </c>
      <c r="N282" t="s">
        <v>71</v>
      </c>
      <c r="O282" s="4">
        <f t="shared" si="12"/>
        <v>0.17198679141441936</v>
      </c>
      <c r="P282" t="str">
        <f t="shared" si="13"/>
        <v>film &amp; video</v>
      </c>
      <c r="Q282" t="str">
        <f t="shared" si="14"/>
        <v>animation</v>
      </c>
    </row>
    <row r="283" spans="1:17" x14ac:dyDescent="0.3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t="s">
        <v>14</v>
      </c>
      <c r="G283">
        <v>2062</v>
      </c>
      <c r="H283" t="s">
        <v>21</v>
      </c>
      <c r="I283" t="s">
        <v>22</v>
      </c>
      <c r="J283">
        <v>1331445600</v>
      </c>
      <c r="K283">
        <v>1333256400</v>
      </c>
      <c r="L283" t="b">
        <v>0</v>
      </c>
      <c r="M283" t="b">
        <v>1</v>
      </c>
      <c r="N283" t="s">
        <v>33</v>
      </c>
      <c r="O283" s="4">
        <f t="shared" si="12"/>
        <v>1.0926457303788724</v>
      </c>
      <c r="P283" t="str">
        <f t="shared" si="13"/>
        <v>theater</v>
      </c>
      <c r="Q283" t="str">
        <f t="shared" si="14"/>
        <v>plays</v>
      </c>
    </row>
    <row r="284" spans="1:17" x14ac:dyDescent="0.3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t="s">
        <v>20</v>
      </c>
      <c r="G284">
        <v>133</v>
      </c>
      <c r="H284" t="s">
        <v>21</v>
      </c>
      <c r="I284" t="s">
        <v>22</v>
      </c>
      <c r="J284">
        <v>1480226400</v>
      </c>
      <c r="K284">
        <v>1480744800</v>
      </c>
      <c r="L284" t="b">
        <v>0</v>
      </c>
      <c r="M284" t="b">
        <v>1</v>
      </c>
      <c r="N284" t="s">
        <v>269</v>
      </c>
      <c r="O284" s="4">
        <f t="shared" si="12"/>
        <v>0.92551784927280745</v>
      </c>
      <c r="P284" t="str">
        <f t="shared" si="13"/>
        <v>film &amp; video</v>
      </c>
      <c r="Q284" t="str">
        <f t="shared" si="14"/>
        <v>television</v>
      </c>
    </row>
    <row r="285" spans="1:17" ht="31.2" x14ac:dyDescent="0.3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t="s">
        <v>14</v>
      </c>
      <c r="G285">
        <v>29</v>
      </c>
      <c r="H285" t="s">
        <v>36</v>
      </c>
      <c r="I285" t="s">
        <v>37</v>
      </c>
      <c r="J285">
        <v>1464584400</v>
      </c>
      <c r="K285">
        <v>1465016400</v>
      </c>
      <c r="L285" t="b">
        <v>0</v>
      </c>
      <c r="M285" t="b">
        <v>0</v>
      </c>
      <c r="N285" t="s">
        <v>23</v>
      </c>
      <c r="O285" s="4">
        <f t="shared" si="12"/>
        <v>5.3394858272907051</v>
      </c>
      <c r="P285" t="str">
        <f t="shared" si="13"/>
        <v>music</v>
      </c>
      <c r="Q285" t="str">
        <f t="shared" si="14"/>
        <v>rock</v>
      </c>
    </row>
    <row r="286" spans="1:17" x14ac:dyDescent="0.3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t="s">
        <v>14</v>
      </c>
      <c r="G286">
        <v>132</v>
      </c>
      <c r="H286" t="s">
        <v>21</v>
      </c>
      <c r="I286" t="s">
        <v>22</v>
      </c>
      <c r="J286">
        <v>1335848400</v>
      </c>
      <c r="K286">
        <v>1336280400</v>
      </c>
      <c r="L286" t="b">
        <v>0</v>
      </c>
      <c r="M286" t="b">
        <v>0</v>
      </c>
      <c r="N286" t="s">
        <v>28</v>
      </c>
      <c r="O286" s="4">
        <f t="shared" si="12"/>
        <v>1.2020115294983442</v>
      </c>
      <c r="P286" t="str">
        <f t="shared" si="13"/>
        <v>technology</v>
      </c>
      <c r="Q286" t="str">
        <f t="shared" si="14"/>
        <v>web</v>
      </c>
    </row>
    <row r="287" spans="1:17" x14ac:dyDescent="0.3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t="s">
        <v>20</v>
      </c>
      <c r="G287">
        <v>254</v>
      </c>
      <c r="H287" t="s">
        <v>21</v>
      </c>
      <c r="I287" t="s">
        <v>22</v>
      </c>
      <c r="J287">
        <v>1473483600</v>
      </c>
      <c r="K287">
        <v>1476766800</v>
      </c>
      <c r="L287" t="b">
        <v>0</v>
      </c>
      <c r="M287" t="b">
        <v>0</v>
      </c>
      <c r="N287" t="s">
        <v>33</v>
      </c>
      <c r="O287" s="4">
        <f t="shared" si="12"/>
        <v>0.14157621519584709</v>
      </c>
      <c r="P287" t="str">
        <f t="shared" si="13"/>
        <v>theater</v>
      </c>
      <c r="Q287" t="str">
        <f t="shared" si="14"/>
        <v>plays</v>
      </c>
    </row>
    <row r="288" spans="1:17" x14ac:dyDescent="0.3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t="s">
        <v>74</v>
      </c>
      <c r="G288">
        <v>184</v>
      </c>
      <c r="H288" t="s">
        <v>21</v>
      </c>
      <c r="I288" t="s">
        <v>22</v>
      </c>
      <c r="J288">
        <v>1479880800</v>
      </c>
      <c r="K288">
        <v>1480485600</v>
      </c>
      <c r="L288" t="b">
        <v>0</v>
      </c>
      <c r="M288" t="b">
        <v>0</v>
      </c>
      <c r="N288" t="s">
        <v>33</v>
      </c>
      <c r="O288" s="4">
        <f t="shared" si="12"/>
        <v>5.7319629800071583</v>
      </c>
      <c r="P288" t="str">
        <f t="shared" si="13"/>
        <v>theater</v>
      </c>
      <c r="Q288" t="str">
        <f t="shared" si="14"/>
        <v>plays</v>
      </c>
    </row>
    <row r="289" spans="1:17" x14ac:dyDescent="0.3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t="s">
        <v>20</v>
      </c>
      <c r="G289">
        <v>176</v>
      </c>
      <c r="H289" t="s">
        <v>21</v>
      </c>
      <c r="I289" t="s">
        <v>22</v>
      </c>
      <c r="J289">
        <v>1430197200</v>
      </c>
      <c r="K289">
        <v>1430197200</v>
      </c>
      <c r="L289" t="b">
        <v>0</v>
      </c>
      <c r="M289" t="b">
        <v>0</v>
      </c>
      <c r="N289" t="s">
        <v>50</v>
      </c>
      <c r="O289" s="4">
        <f t="shared" si="12"/>
        <v>0.47680314841444033</v>
      </c>
      <c r="P289" t="str">
        <f t="shared" si="13"/>
        <v>music</v>
      </c>
      <c r="Q289" t="str">
        <f t="shared" si="14"/>
        <v>electric music</v>
      </c>
    </row>
    <row r="290" spans="1:17" x14ac:dyDescent="0.3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t="s">
        <v>14</v>
      </c>
      <c r="G290">
        <v>137</v>
      </c>
      <c r="H290" t="s">
        <v>36</v>
      </c>
      <c r="I290" t="s">
        <v>37</v>
      </c>
      <c r="J290">
        <v>1331701200</v>
      </c>
      <c r="K290">
        <v>1331787600</v>
      </c>
      <c r="L290" t="b">
        <v>0</v>
      </c>
      <c r="M290" t="b">
        <v>1</v>
      </c>
      <c r="N290" t="s">
        <v>148</v>
      </c>
      <c r="O290" s="4">
        <f t="shared" si="12"/>
        <v>1.0226442658875092</v>
      </c>
      <c r="P290" t="str">
        <f t="shared" si="13"/>
        <v>music</v>
      </c>
      <c r="Q290" t="str">
        <f t="shared" si="14"/>
        <v>metal</v>
      </c>
    </row>
    <row r="291" spans="1:17" x14ac:dyDescent="0.3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t="s">
        <v>20</v>
      </c>
      <c r="G291">
        <v>337</v>
      </c>
      <c r="H291" t="s">
        <v>15</v>
      </c>
      <c r="I291" t="s">
        <v>16</v>
      </c>
      <c r="J291">
        <v>1438578000</v>
      </c>
      <c r="K291">
        <v>1438837200</v>
      </c>
      <c r="L291" t="b">
        <v>0</v>
      </c>
      <c r="M291" t="b">
        <v>0</v>
      </c>
      <c r="N291" t="s">
        <v>33</v>
      </c>
      <c r="O291" s="4">
        <f t="shared" si="12"/>
        <v>5.9373608431052396E-2</v>
      </c>
      <c r="P291" t="str">
        <f t="shared" si="13"/>
        <v>theater</v>
      </c>
      <c r="Q291" t="str">
        <f t="shared" si="14"/>
        <v>plays</v>
      </c>
    </row>
    <row r="292" spans="1:17" x14ac:dyDescent="0.3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t="s">
        <v>14</v>
      </c>
      <c r="G292">
        <v>908</v>
      </c>
      <c r="H292" t="s">
        <v>21</v>
      </c>
      <c r="I292" t="s">
        <v>22</v>
      </c>
      <c r="J292">
        <v>1368162000</v>
      </c>
      <c r="K292">
        <v>1370926800</v>
      </c>
      <c r="L292" t="b">
        <v>0</v>
      </c>
      <c r="M292" t="b">
        <v>1</v>
      </c>
      <c r="N292" t="s">
        <v>42</v>
      </c>
      <c r="O292" s="4">
        <f t="shared" si="12"/>
        <v>1.838163145156015</v>
      </c>
      <c r="P292" t="str">
        <f t="shared" si="13"/>
        <v>film &amp; video</v>
      </c>
      <c r="Q292" t="str">
        <f t="shared" si="14"/>
        <v>documentary</v>
      </c>
    </row>
    <row r="293" spans="1:17" x14ac:dyDescent="0.3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t="s">
        <v>20</v>
      </c>
      <c r="G293">
        <v>107</v>
      </c>
      <c r="H293" t="s">
        <v>21</v>
      </c>
      <c r="I293" t="s">
        <v>22</v>
      </c>
      <c r="J293">
        <v>1318654800</v>
      </c>
      <c r="K293">
        <v>1319000400</v>
      </c>
      <c r="L293" t="b">
        <v>1</v>
      </c>
      <c r="M293" t="b">
        <v>0</v>
      </c>
      <c r="N293" t="s">
        <v>28</v>
      </c>
      <c r="O293" s="4">
        <f t="shared" si="12"/>
        <v>0.21900474510281057</v>
      </c>
      <c r="P293" t="str">
        <f t="shared" si="13"/>
        <v>technology</v>
      </c>
      <c r="Q293" t="str">
        <f t="shared" si="14"/>
        <v>web</v>
      </c>
    </row>
    <row r="294" spans="1:17" x14ac:dyDescent="0.3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t="s">
        <v>14</v>
      </c>
      <c r="G294">
        <v>10</v>
      </c>
      <c r="H294" t="s">
        <v>21</v>
      </c>
      <c r="I294" t="s">
        <v>22</v>
      </c>
      <c r="J294">
        <v>1331874000</v>
      </c>
      <c r="K294">
        <v>1333429200</v>
      </c>
      <c r="L294" t="b">
        <v>0</v>
      </c>
      <c r="M294" t="b">
        <v>0</v>
      </c>
      <c r="N294" t="s">
        <v>17</v>
      </c>
      <c r="O294" s="4">
        <f t="shared" si="12"/>
        <v>10.181311018131101</v>
      </c>
      <c r="P294" t="str">
        <f t="shared" si="13"/>
        <v>food</v>
      </c>
      <c r="Q294" t="str">
        <f t="shared" si="14"/>
        <v>food trucks</v>
      </c>
    </row>
    <row r="295" spans="1:17" x14ac:dyDescent="0.3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t="s">
        <v>74</v>
      </c>
      <c r="G295">
        <v>32</v>
      </c>
      <c r="H295" t="s">
        <v>107</v>
      </c>
      <c r="I295" t="s">
        <v>108</v>
      </c>
      <c r="J295">
        <v>1286254800</v>
      </c>
      <c r="K295">
        <v>1287032400</v>
      </c>
      <c r="L295" t="b">
        <v>0</v>
      </c>
      <c r="M295" t="b">
        <v>0</v>
      </c>
      <c r="N295" t="s">
        <v>33</v>
      </c>
      <c r="O295" s="4">
        <f t="shared" si="12"/>
        <v>6.103286384976526</v>
      </c>
      <c r="P295" t="str">
        <f t="shared" si="13"/>
        <v>theater</v>
      </c>
      <c r="Q295" t="str">
        <f t="shared" si="14"/>
        <v>plays</v>
      </c>
    </row>
    <row r="296" spans="1:17" x14ac:dyDescent="0.3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t="s">
        <v>20</v>
      </c>
      <c r="G296">
        <v>183</v>
      </c>
      <c r="H296" t="s">
        <v>21</v>
      </c>
      <c r="I296" t="s">
        <v>22</v>
      </c>
      <c r="J296">
        <v>1540530000</v>
      </c>
      <c r="K296">
        <v>1541570400</v>
      </c>
      <c r="L296" t="b">
        <v>0</v>
      </c>
      <c r="M296" t="b">
        <v>0</v>
      </c>
      <c r="N296" t="s">
        <v>33</v>
      </c>
      <c r="O296" s="4">
        <f t="shared" si="12"/>
        <v>7.4645434187608856E-2</v>
      </c>
      <c r="P296" t="str">
        <f t="shared" si="13"/>
        <v>theater</v>
      </c>
      <c r="Q296" t="str">
        <f t="shared" si="14"/>
        <v>plays</v>
      </c>
    </row>
    <row r="297" spans="1:17" ht="31.2" x14ac:dyDescent="0.3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t="s">
        <v>14</v>
      </c>
      <c r="G297">
        <v>1910</v>
      </c>
      <c r="H297" t="s">
        <v>98</v>
      </c>
      <c r="I297" t="s">
        <v>99</v>
      </c>
      <c r="J297">
        <v>1381813200</v>
      </c>
      <c r="K297">
        <v>1383976800</v>
      </c>
      <c r="L297" t="b">
        <v>0</v>
      </c>
      <c r="M297" t="b">
        <v>0</v>
      </c>
      <c r="N297" t="s">
        <v>33</v>
      </c>
      <c r="O297" s="4">
        <f t="shared" si="12"/>
        <v>2.8050429699428521</v>
      </c>
      <c r="P297" t="str">
        <f t="shared" si="13"/>
        <v>theater</v>
      </c>
      <c r="Q297" t="str">
        <f t="shared" si="14"/>
        <v>plays</v>
      </c>
    </row>
    <row r="298" spans="1:17" ht="31.2" x14ac:dyDescent="0.3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t="s">
        <v>14</v>
      </c>
      <c r="G298">
        <v>38</v>
      </c>
      <c r="H298" t="s">
        <v>26</v>
      </c>
      <c r="I298" t="s">
        <v>27</v>
      </c>
      <c r="J298">
        <v>1548655200</v>
      </c>
      <c r="K298">
        <v>1550556000</v>
      </c>
      <c r="L298" t="b">
        <v>0</v>
      </c>
      <c r="M298" t="b">
        <v>0</v>
      </c>
      <c r="N298" t="s">
        <v>33</v>
      </c>
      <c r="O298" s="4">
        <f t="shared" si="12"/>
        <v>1.8198090692124105</v>
      </c>
      <c r="P298" t="str">
        <f t="shared" si="13"/>
        <v>theater</v>
      </c>
      <c r="Q298" t="str">
        <f t="shared" si="14"/>
        <v>plays</v>
      </c>
    </row>
    <row r="299" spans="1:17" x14ac:dyDescent="0.3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t="s">
        <v>14</v>
      </c>
      <c r="G299">
        <v>104</v>
      </c>
      <c r="H299" t="s">
        <v>26</v>
      </c>
      <c r="I299" t="s">
        <v>27</v>
      </c>
      <c r="J299">
        <v>1389679200</v>
      </c>
      <c r="K299">
        <v>1390456800</v>
      </c>
      <c r="L299" t="b">
        <v>0</v>
      </c>
      <c r="M299" t="b">
        <v>1</v>
      </c>
      <c r="N299" t="s">
        <v>33</v>
      </c>
      <c r="O299" s="4">
        <f t="shared" si="12"/>
        <v>1.0611643330876934</v>
      </c>
      <c r="P299" t="str">
        <f t="shared" si="13"/>
        <v>theater</v>
      </c>
      <c r="Q299" t="str">
        <f t="shared" si="14"/>
        <v>plays</v>
      </c>
    </row>
    <row r="300" spans="1:17" x14ac:dyDescent="0.3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t="s">
        <v>20</v>
      </c>
      <c r="G300">
        <v>72</v>
      </c>
      <c r="H300" t="s">
        <v>21</v>
      </c>
      <c r="I300" t="s">
        <v>22</v>
      </c>
      <c r="J300">
        <v>1456466400</v>
      </c>
      <c r="K300">
        <v>1458018000</v>
      </c>
      <c r="L300" t="b">
        <v>0</v>
      </c>
      <c r="M300" t="b">
        <v>1</v>
      </c>
      <c r="N300" t="s">
        <v>23</v>
      </c>
      <c r="O300" s="4">
        <f t="shared" si="12"/>
        <v>0.69485805042684134</v>
      </c>
      <c r="P300" t="str">
        <f t="shared" si="13"/>
        <v>music</v>
      </c>
      <c r="Q300" t="str">
        <f t="shared" si="14"/>
        <v>rock</v>
      </c>
    </row>
    <row r="301" spans="1:17" ht="31.2" x14ac:dyDescent="0.3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t="s">
        <v>14</v>
      </c>
      <c r="G301">
        <v>49</v>
      </c>
      <c r="H301" t="s">
        <v>21</v>
      </c>
      <c r="I301" t="s">
        <v>22</v>
      </c>
      <c r="J301">
        <v>1456984800</v>
      </c>
      <c r="K301">
        <v>1461819600</v>
      </c>
      <c r="L301" t="b">
        <v>0</v>
      </c>
      <c r="M301" t="b">
        <v>0</v>
      </c>
      <c r="N301" t="s">
        <v>17</v>
      </c>
      <c r="O301" s="4">
        <f t="shared" si="12"/>
        <v>1.9447287615148414</v>
      </c>
      <c r="P301" t="str">
        <f t="shared" si="13"/>
        <v>food</v>
      </c>
      <c r="Q301" t="str">
        <f t="shared" si="14"/>
        <v>food trucks</v>
      </c>
    </row>
    <row r="302" spans="1:17" x14ac:dyDescent="0.3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t="s">
        <v>14</v>
      </c>
      <c r="G302">
        <v>1</v>
      </c>
      <c r="H302" t="s">
        <v>36</v>
      </c>
      <c r="I302" t="s">
        <v>37</v>
      </c>
      <c r="J302">
        <v>1504069200</v>
      </c>
      <c r="K302">
        <v>1504155600</v>
      </c>
      <c r="L302" t="b">
        <v>0</v>
      </c>
      <c r="M302" t="b">
        <v>1</v>
      </c>
      <c r="N302" t="s">
        <v>68</v>
      </c>
      <c r="O302" s="4">
        <f t="shared" si="12"/>
        <v>20</v>
      </c>
      <c r="P302" t="str">
        <f t="shared" si="13"/>
        <v>publishing</v>
      </c>
      <c r="Q302" t="str">
        <f t="shared" si="14"/>
        <v>nonfiction</v>
      </c>
    </row>
    <row r="303" spans="1:17" ht="31.2" x14ac:dyDescent="0.3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t="s">
        <v>20</v>
      </c>
      <c r="G303">
        <v>295</v>
      </c>
      <c r="H303" t="s">
        <v>21</v>
      </c>
      <c r="I303" t="s">
        <v>22</v>
      </c>
      <c r="J303">
        <v>1424930400</v>
      </c>
      <c r="K303">
        <v>1426395600</v>
      </c>
      <c r="L303" t="b">
        <v>0</v>
      </c>
      <c r="M303" t="b">
        <v>0</v>
      </c>
      <c r="N303" t="s">
        <v>42</v>
      </c>
      <c r="O303" s="4">
        <f t="shared" si="12"/>
        <v>7.4367873078829944E-2</v>
      </c>
      <c r="P303" t="str">
        <f t="shared" si="13"/>
        <v>film &amp; video</v>
      </c>
      <c r="Q303" t="str">
        <f t="shared" si="14"/>
        <v>documentary</v>
      </c>
    </row>
    <row r="304" spans="1:17" x14ac:dyDescent="0.3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t="s">
        <v>14</v>
      </c>
      <c r="G304">
        <v>245</v>
      </c>
      <c r="H304" t="s">
        <v>21</v>
      </c>
      <c r="I304" t="s">
        <v>22</v>
      </c>
      <c r="J304">
        <v>1535864400</v>
      </c>
      <c r="K304">
        <v>1537074000</v>
      </c>
      <c r="L304" t="b">
        <v>0</v>
      </c>
      <c r="M304" t="b">
        <v>0</v>
      </c>
      <c r="N304" t="s">
        <v>33</v>
      </c>
      <c r="O304" s="4">
        <f t="shared" si="12"/>
        <v>3.1402162251382357</v>
      </c>
      <c r="P304" t="str">
        <f t="shared" si="13"/>
        <v>theater</v>
      </c>
      <c r="Q304" t="str">
        <f t="shared" si="14"/>
        <v>plays</v>
      </c>
    </row>
    <row r="305" spans="1:17" x14ac:dyDescent="0.3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t="s">
        <v>14</v>
      </c>
      <c r="G305">
        <v>32</v>
      </c>
      <c r="H305" t="s">
        <v>21</v>
      </c>
      <c r="I305" t="s">
        <v>22</v>
      </c>
      <c r="J305">
        <v>1452146400</v>
      </c>
      <c r="K305">
        <v>1452578400</v>
      </c>
      <c r="L305" t="b">
        <v>0</v>
      </c>
      <c r="M305" t="b">
        <v>0</v>
      </c>
      <c r="N305" t="s">
        <v>60</v>
      </c>
      <c r="O305" s="4">
        <f t="shared" si="12"/>
        <v>1.2103951584193664</v>
      </c>
      <c r="P305" t="str">
        <f t="shared" si="13"/>
        <v>music</v>
      </c>
      <c r="Q305" t="str">
        <f t="shared" si="14"/>
        <v>indie rock</v>
      </c>
    </row>
    <row r="306" spans="1:17" x14ac:dyDescent="0.3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t="s">
        <v>20</v>
      </c>
      <c r="G306">
        <v>142</v>
      </c>
      <c r="H306" t="s">
        <v>21</v>
      </c>
      <c r="I306" t="s">
        <v>22</v>
      </c>
      <c r="J306">
        <v>1470546000</v>
      </c>
      <c r="K306">
        <v>1474088400</v>
      </c>
      <c r="L306" t="b">
        <v>0</v>
      </c>
      <c r="M306" t="b">
        <v>0</v>
      </c>
      <c r="N306" t="s">
        <v>42</v>
      </c>
      <c r="O306" s="4">
        <f t="shared" si="12"/>
        <v>0.18310227569971227</v>
      </c>
      <c r="P306" t="str">
        <f t="shared" si="13"/>
        <v>film &amp; video</v>
      </c>
      <c r="Q306" t="str">
        <f t="shared" si="14"/>
        <v>documentary</v>
      </c>
    </row>
    <row r="307" spans="1:17" x14ac:dyDescent="0.3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t="s">
        <v>20</v>
      </c>
      <c r="G307">
        <v>85</v>
      </c>
      <c r="H307" t="s">
        <v>21</v>
      </c>
      <c r="I307" t="s">
        <v>22</v>
      </c>
      <c r="J307">
        <v>1458363600</v>
      </c>
      <c r="K307">
        <v>1461906000</v>
      </c>
      <c r="L307" t="b">
        <v>0</v>
      </c>
      <c r="M307" t="b">
        <v>0</v>
      </c>
      <c r="N307" t="s">
        <v>33</v>
      </c>
      <c r="O307" s="4">
        <f t="shared" si="12"/>
        <v>0.34938857000249562</v>
      </c>
      <c r="P307" t="str">
        <f t="shared" si="13"/>
        <v>theater</v>
      </c>
      <c r="Q307" t="str">
        <f t="shared" si="14"/>
        <v>plays</v>
      </c>
    </row>
    <row r="308" spans="1:17" ht="31.2" x14ac:dyDescent="0.3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t="s">
        <v>14</v>
      </c>
      <c r="G308">
        <v>7</v>
      </c>
      <c r="H308" t="s">
        <v>21</v>
      </c>
      <c r="I308" t="s">
        <v>22</v>
      </c>
      <c r="J308">
        <v>1500008400</v>
      </c>
      <c r="K308">
        <v>1500267600</v>
      </c>
      <c r="L308" t="b">
        <v>0</v>
      </c>
      <c r="M308" t="b">
        <v>1</v>
      </c>
      <c r="N308" t="s">
        <v>33</v>
      </c>
      <c r="O308" s="4">
        <f t="shared" si="12"/>
        <v>12.645914396887159</v>
      </c>
      <c r="P308" t="str">
        <f t="shared" si="13"/>
        <v>theater</v>
      </c>
      <c r="Q308" t="str">
        <f t="shared" si="14"/>
        <v>plays</v>
      </c>
    </row>
    <row r="309" spans="1:17" ht="31.2" x14ac:dyDescent="0.3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t="s">
        <v>20</v>
      </c>
      <c r="G309">
        <v>659</v>
      </c>
      <c r="H309" t="s">
        <v>36</v>
      </c>
      <c r="I309" t="s">
        <v>37</v>
      </c>
      <c r="J309">
        <v>1338958800</v>
      </c>
      <c r="K309">
        <v>1340686800</v>
      </c>
      <c r="L309" t="b">
        <v>0</v>
      </c>
      <c r="M309" t="b">
        <v>1</v>
      </c>
      <c r="N309" t="s">
        <v>119</v>
      </c>
      <c r="O309" s="4">
        <f t="shared" si="12"/>
        <v>0.75679157178018541</v>
      </c>
      <c r="P309" t="str">
        <f t="shared" si="13"/>
        <v>publishing</v>
      </c>
      <c r="Q309" t="str">
        <f t="shared" si="14"/>
        <v>fiction</v>
      </c>
    </row>
    <row r="310" spans="1:17" x14ac:dyDescent="0.3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t="s">
        <v>14</v>
      </c>
      <c r="G310">
        <v>803</v>
      </c>
      <c r="H310" t="s">
        <v>21</v>
      </c>
      <c r="I310" t="s">
        <v>22</v>
      </c>
      <c r="J310">
        <v>1303102800</v>
      </c>
      <c r="K310">
        <v>1303189200</v>
      </c>
      <c r="L310" t="b">
        <v>0</v>
      </c>
      <c r="M310" t="b">
        <v>0</v>
      </c>
      <c r="N310" t="s">
        <v>33</v>
      </c>
      <c r="O310" s="4">
        <f t="shared" si="12"/>
        <v>1.3499314755596163</v>
      </c>
      <c r="P310" t="str">
        <f t="shared" si="13"/>
        <v>theater</v>
      </c>
      <c r="Q310" t="str">
        <f t="shared" si="14"/>
        <v>plays</v>
      </c>
    </row>
    <row r="311" spans="1:17" x14ac:dyDescent="0.3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t="s">
        <v>74</v>
      </c>
      <c r="G311">
        <v>75</v>
      </c>
      <c r="H311" t="s">
        <v>21</v>
      </c>
      <c r="I311" t="s">
        <v>22</v>
      </c>
      <c r="J311">
        <v>1316581200</v>
      </c>
      <c r="K311">
        <v>1318309200</v>
      </c>
      <c r="L311" t="b">
        <v>0</v>
      </c>
      <c r="M311" t="b">
        <v>1</v>
      </c>
      <c r="N311" t="s">
        <v>60</v>
      </c>
      <c r="O311" s="4">
        <f t="shared" si="12"/>
        <v>1.3281503077421444</v>
      </c>
      <c r="P311" t="str">
        <f t="shared" si="13"/>
        <v>music</v>
      </c>
      <c r="Q311" t="str">
        <f t="shared" si="14"/>
        <v>indie rock</v>
      </c>
    </row>
    <row r="312" spans="1:17" x14ac:dyDescent="0.3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t="s">
        <v>14</v>
      </c>
      <c r="G312">
        <v>16</v>
      </c>
      <c r="H312" t="s">
        <v>21</v>
      </c>
      <c r="I312" t="s">
        <v>22</v>
      </c>
      <c r="J312">
        <v>1270789200</v>
      </c>
      <c r="K312">
        <v>1272171600</v>
      </c>
      <c r="L312" t="b">
        <v>0</v>
      </c>
      <c r="M312" t="b">
        <v>0</v>
      </c>
      <c r="N312" t="s">
        <v>89</v>
      </c>
      <c r="O312" s="4">
        <f t="shared" si="12"/>
        <v>4.918032786885246</v>
      </c>
      <c r="P312" t="str">
        <f t="shared" si="13"/>
        <v>games</v>
      </c>
      <c r="Q312" t="str">
        <f t="shared" si="14"/>
        <v>video games</v>
      </c>
    </row>
    <row r="313" spans="1:17" x14ac:dyDescent="0.3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t="s">
        <v>20</v>
      </c>
      <c r="G313">
        <v>121</v>
      </c>
      <c r="H313" t="s">
        <v>21</v>
      </c>
      <c r="I313" t="s">
        <v>22</v>
      </c>
      <c r="J313">
        <v>1297836000</v>
      </c>
      <c r="K313">
        <v>1298872800</v>
      </c>
      <c r="L313" t="b">
        <v>0</v>
      </c>
      <c r="M313" t="b">
        <v>0</v>
      </c>
      <c r="N313" t="s">
        <v>33</v>
      </c>
      <c r="O313" s="4">
        <f t="shared" si="12"/>
        <v>0.49172650640024979</v>
      </c>
      <c r="P313" t="str">
        <f t="shared" si="13"/>
        <v>theater</v>
      </c>
      <c r="Q313" t="str">
        <f t="shared" si="14"/>
        <v>plays</v>
      </c>
    </row>
    <row r="314" spans="1:17" x14ac:dyDescent="0.3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t="s">
        <v>20</v>
      </c>
      <c r="G314">
        <v>3742</v>
      </c>
      <c r="H314" t="s">
        <v>21</v>
      </c>
      <c r="I314" t="s">
        <v>22</v>
      </c>
      <c r="J314">
        <v>1382677200</v>
      </c>
      <c r="K314">
        <v>1383282000</v>
      </c>
      <c r="L314" t="b">
        <v>0</v>
      </c>
      <c r="M314" t="b">
        <v>0</v>
      </c>
      <c r="N314" t="s">
        <v>33</v>
      </c>
      <c r="O314" s="4">
        <f t="shared" si="12"/>
        <v>0.32234312361940604</v>
      </c>
      <c r="P314" t="str">
        <f t="shared" si="13"/>
        <v>theater</v>
      </c>
      <c r="Q314" t="str">
        <f t="shared" si="14"/>
        <v>plays</v>
      </c>
    </row>
    <row r="315" spans="1:17" x14ac:dyDescent="0.3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t="s">
        <v>20</v>
      </c>
      <c r="G315">
        <v>223</v>
      </c>
      <c r="H315" t="s">
        <v>21</v>
      </c>
      <c r="I315" t="s">
        <v>22</v>
      </c>
      <c r="J315">
        <v>1330322400</v>
      </c>
      <c r="K315">
        <v>1330495200</v>
      </c>
      <c r="L315" t="b">
        <v>0</v>
      </c>
      <c r="M315" t="b">
        <v>0</v>
      </c>
      <c r="N315" t="s">
        <v>23</v>
      </c>
      <c r="O315" s="4">
        <f t="shared" si="12"/>
        <v>0.25296079107738301</v>
      </c>
      <c r="P315" t="str">
        <f t="shared" si="13"/>
        <v>music</v>
      </c>
      <c r="Q315" t="str">
        <f t="shared" si="14"/>
        <v>rock</v>
      </c>
    </row>
    <row r="316" spans="1:17" x14ac:dyDescent="0.3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t="s">
        <v>20</v>
      </c>
      <c r="G316">
        <v>133</v>
      </c>
      <c r="H316" t="s">
        <v>21</v>
      </c>
      <c r="I316" t="s">
        <v>22</v>
      </c>
      <c r="J316">
        <v>1552366800</v>
      </c>
      <c r="K316">
        <v>1552798800</v>
      </c>
      <c r="L316" t="b">
        <v>0</v>
      </c>
      <c r="M316" t="b">
        <v>1</v>
      </c>
      <c r="N316" t="s">
        <v>42</v>
      </c>
      <c r="O316" s="4">
        <f t="shared" si="12"/>
        <v>0.33931168201648088</v>
      </c>
      <c r="P316" t="str">
        <f t="shared" si="13"/>
        <v>film &amp; video</v>
      </c>
      <c r="Q316" t="str">
        <f t="shared" si="14"/>
        <v>documentary</v>
      </c>
    </row>
    <row r="317" spans="1:17" ht="31.2" x14ac:dyDescent="0.3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t="s">
        <v>14</v>
      </c>
      <c r="G317">
        <v>31</v>
      </c>
      <c r="H317" t="s">
        <v>21</v>
      </c>
      <c r="I317" t="s">
        <v>22</v>
      </c>
      <c r="J317">
        <v>1400907600</v>
      </c>
      <c r="K317">
        <v>1403413200</v>
      </c>
      <c r="L317" t="b">
        <v>0</v>
      </c>
      <c r="M317" t="b">
        <v>0</v>
      </c>
      <c r="N317" t="s">
        <v>33</v>
      </c>
      <c r="O317" s="4">
        <f t="shared" si="12"/>
        <v>2.9503105590062111</v>
      </c>
      <c r="P317" t="str">
        <f t="shared" si="13"/>
        <v>theater</v>
      </c>
      <c r="Q317" t="str">
        <f t="shared" si="14"/>
        <v>plays</v>
      </c>
    </row>
    <row r="318" spans="1:17" x14ac:dyDescent="0.3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t="s">
        <v>14</v>
      </c>
      <c r="G318">
        <v>108</v>
      </c>
      <c r="H318" t="s">
        <v>107</v>
      </c>
      <c r="I318" t="s">
        <v>108</v>
      </c>
      <c r="J318">
        <v>1574143200</v>
      </c>
      <c r="K318">
        <v>1574229600</v>
      </c>
      <c r="L318" t="b">
        <v>0</v>
      </c>
      <c r="M318" t="b">
        <v>1</v>
      </c>
      <c r="N318" t="s">
        <v>17</v>
      </c>
      <c r="O318" s="4">
        <f t="shared" si="12"/>
        <v>1.4997656616153725</v>
      </c>
      <c r="P318" t="str">
        <f t="shared" si="13"/>
        <v>food</v>
      </c>
      <c r="Q318" t="str">
        <f t="shared" si="14"/>
        <v>food trucks</v>
      </c>
    </row>
    <row r="319" spans="1:17" x14ac:dyDescent="0.3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t="s">
        <v>14</v>
      </c>
      <c r="G319">
        <v>30</v>
      </c>
      <c r="H319" t="s">
        <v>21</v>
      </c>
      <c r="I319" t="s">
        <v>22</v>
      </c>
      <c r="J319">
        <v>1494738000</v>
      </c>
      <c r="K319">
        <v>1495861200</v>
      </c>
      <c r="L319" t="b">
        <v>0</v>
      </c>
      <c r="M319" t="b">
        <v>0</v>
      </c>
      <c r="N319" t="s">
        <v>33</v>
      </c>
      <c r="O319" s="4">
        <f t="shared" si="12"/>
        <v>5.2009456264775418</v>
      </c>
      <c r="P319" t="str">
        <f t="shared" si="13"/>
        <v>theater</v>
      </c>
      <c r="Q319" t="str">
        <f t="shared" si="14"/>
        <v>plays</v>
      </c>
    </row>
    <row r="320" spans="1:17" ht="31.2" x14ac:dyDescent="0.3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t="s">
        <v>14</v>
      </c>
      <c r="G320">
        <v>17</v>
      </c>
      <c r="H320" t="s">
        <v>21</v>
      </c>
      <c r="I320" t="s">
        <v>22</v>
      </c>
      <c r="J320">
        <v>1392357600</v>
      </c>
      <c r="K320">
        <v>1392530400</v>
      </c>
      <c r="L320" t="b">
        <v>0</v>
      </c>
      <c r="M320" t="b">
        <v>0</v>
      </c>
      <c r="N320" t="s">
        <v>23</v>
      </c>
      <c r="O320" s="4">
        <f t="shared" si="12"/>
        <v>6.3122923588039868</v>
      </c>
      <c r="P320" t="str">
        <f t="shared" si="13"/>
        <v>music</v>
      </c>
      <c r="Q320" t="str">
        <f t="shared" si="14"/>
        <v>rock</v>
      </c>
    </row>
    <row r="321" spans="1:17" x14ac:dyDescent="0.3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t="s">
        <v>74</v>
      </c>
      <c r="G321">
        <v>64</v>
      </c>
      <c r="H321" t="s">
        <v>21</v>
      </c>
      <c r="I321" t="s">
        <v>22</v>
      </c>
      <c r="J321">
        <v>1281589200</v>
      </c>
      <c r="K321">
        <v>1283662800</v>
      </c>
      <c r="L321" t="b">
        <v>0</v>
      </c>
      <c r="M321" t="b">
        <v>0</v>
      </c>
      <c r="N321" t="s">
        <v>28</v>
      </c>
      <c r="O321" s="4">
        <f t="shared" si="12"/>
        <v>2.5838203629652416</v>
      </c>
      <c r="P321" t="str">
        <f t="shared" si="13"/>
        <v>technology</v>
      </c>
      <c r="Q321" t="str">
        <f t="shared" si="14"/>
        <v>web</v>
      </c>
    </row>
    <row r="322" spans="1:17" x14ac:dyDescent="0.3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t="s">
        <v>14</v>
      </c>
      <c r="G322">
        <v>80</v>
      </c>
      <c r="H322" t="s">
        <v>21</v>
      </c>
      <c r="I322" t="s">
        <v>22</v>
      </c>
      <c r="J322">
        <v>1305003600</v>
      </c>
      <c r="K322">
        <v>1305781200</v>
      </c>
      <c r="L322" t="b">
        <v>0</v>
      </c>
      <c r="M322" t="b">
        <v>0</v>
      </c>
      <c r="N322" t="s">
        <v>119</v>
      </c>
      <c r="O322" s="4">
        <f t="shared" si="12"/>
        <v>10.430054374691053</v>
      </c>
      <c r="P322" t="str">
        <f t="shared" si="13"/>
        <v>publishing</v>
      </c>
      <c r="Q322" t="str">
        <f t="shared" si="14"/>
        <v>fiction</v>
      </c>
    </row>
    <row r="323" spans="1:17" ht="31.2" x14ac:dyDescent="0.3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t="s">
        <v>14</v>
      </c>
      <c r="G323">
        <v>2468</v>
      </c>
      <c r="H323" t="s">
        <v>21</v>
      </c>
      <c r="I323" t="s">
        <v>22</v>
      </c>
      <c r="J323">
        <v>1301634000</v>
      </c>
      <c r="K323">
        <v>1302325200</v>
      </c>
      <c r="L323" t="b">
        <v>0</v>
      </c>
      <c r="M323" t="b">
        <v>0</v>
      </c>
      <c r="N323" t="s">
        <v>100</v>
      </c>
      <c r="O323" s="4">
        <f t="shared" ref="O323:O386" si="15">D323/E323</f>
        <v>1.0621984515839473</v>
      </c>
      <c r="P323" t="str">
        <f t="shared" ref="P323:P386" si="16">LEFT(N323,SEARCH("/",N323) -1)</f>
        <v>film &amp; video</v>
      </c>
      <c r="Q323" t="str">
        <f t="shared" ref="Q323:Q386" si="17">RIGHT(N323,LEN(N323)-SEARCH("/",N323))</f>
        <v>shorts</v>
      </c>
    </row>
    <row r="324" spans="1:17" ht="31.2" x14ac:dyDescent="0.3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t="s">
        <v>20</v>
      </c>
      <c r="G324">
        <v>5168</v>
      </c>
      <c r="H324" t="s">
        <v>21</v>
      </c>
      <c r="I324" t="s">
        <v>22</v>
      </c>
      <c r="J324">
        <v>1290664800</v>
      </c>
      <c r="K324">
        <v>1291788000</v>
      </c>
      <c r="L324" t="b">
        <v>0</v>
      </c>
      <c r="M324" t="b">
        <v>0</v>
      </c>
      <c r="N324" t="s">
        <v>33</v>
      </c>
      <c r="O324" s="4">
        <f t="shared" si="15"/>
        <v>0.60037580775752764</v>
      </c>
      <c r="P324" t="str">
        <f t="shared" si="16"/>
        <v>theater</v>
      </c>
      <c r="Q324" t="str">
        <f t="shared" si="17"/>
        <v>plays</v>
      </c>
    </row>
    <row r="325" spans="1:17" x14ac:dyDescent="0.3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t="s">
        <v>14</v>
      </c>
      <c r="G325">
        <v>26</v>
      </c>
      <c r="H325" t="s">
        <v>40</v>
      </c>
      <c r="I325" t="s">
        <v>41</v>
      </c>
      <c r="J325">
        <v>1395896400</v>
      </c>
      <c r="K325">
        <v>1396069200</v>
      </c>
      <c r="L325" t="b">
        <v>0</v>
      </c>
      <c r="M325" t="b">
        <v>0</v>
      </c>
      <c r="N325" t="s">
        <v>42</v>
      </c>
      <c r="O325" s="4">
        <f t="shared" si="15"/>
        <v>4.1433891992551208</v>
      </c>
      <c r="P325" t="str">
        <f t="shared" si="16"/>
        <v>film &amp; video</v>
      </c>
      <c r="Q325" t="str">
        <f t="shared" si="17"/>
        <v>documentary</v>
      </c>
    </row>
    <row r="326" spans="1:17" x14ac:dyDescent="0.3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t="s">
        <v>20</v>
      </c>
      <c r="G326">
        <v>307</v>
      </c>
      <c r="H326" t="s">
        <v>21</v>
      </c>
      <c r="I326" t="s">
        <v>22</v>
      </c>
      <c r="J326">
        <v>1434862800</v>
      </c>
      <c r="K326">
        <v>1435899600</v>
      </c>
      <c r="L326" t="b">
        <v>0</v>
      </c>
      <c r="M326" t="b">
        <v>1</v>
      </c>
      <c r="N326" t="s">
        <v>33</v>
      </c>
      <c r="O326" s="4">
        <f t="shared" si="15"/>
        <v>0.60954670329670335</v>
      </c>
      <c r="P326" t="str">
        <f t="shared" si="16"/>
        <v>theater</v>
      </c>
      <c r="Q326" t="str">
        <f t="shared" si="17"/>
        <v>plays</v>
      </c>
    </row>
    <row r="327" spans="1:17" ht="31.2" x14ac:dyDescent="0.3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t="s">
        <v>14</v>
      </c>
      <c r="G327">
        <v>73</v>
      </c>
      <c r="H327" t="s">
        <v>21</v>
      </c>
      <c r="I327" t="s">
        <v>22</v>
      </c>
      <c r="J327">
        <v>1529125200</v>
      </c>
      <c r="K327">
        <v>1531112400</v>
      </c>
      <c r="L327" t="b">
        <v>0</v>
      </c>
      <c r="M327" t="b">
        <v>1</v>
      </c>
      <c r="N327" t="s">
        <v>33</v>
      </c>
      <c r="O327" s="4">
        <f t="shared" si="15"/>
        <v>1.1022553840936069</v>
      </c>
      <c r="P327" t="str">
        <f t="shared" si="16"/>
        <v>theater</v>
      </c>
      <c r="Q327" t="str">
        <f t="shared" si="17"/>
        <v>plays</v>
      </c>
    </row>
    <row r="328" spans="1:17" ht="31.2" x14ac:dyDescent="0.3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t="s">
        <v>14</v>
      </c>
      <c r="G328">
        <v>128</v>
      </c>
      <c r="H328" t="s">
        <v>21</v>
      </c>
      <c r="I328" t="s">
        <v>22</v>
      </c>
      <c r="J328">
        <v>1451109600</v>
      </c>
      <c r="K328">
        <v>1451628000</v>
      </c>
      <c r="L328" t="b">
        <v>0</v>
      </c>
      <c r="M328" t="b">
        <v>0</v>
      </c>
      <c r="N328" t="s">
        <v>71</v>
      </c>
      <c r="O328" s="4">
        <f t="shared" si="15"/>
        <v>2.1647624774503909</v>
      </c>
      <c r="P328" t="str">
        <f t="shared" si="16"/>
        <v>film &amp; video</v>
      </c>
      <c r="Q328" t="str">
        <f t="shared" si="17"/>
        <v>animation</v>
      </c>
    </row>
    <row r="329" spans="1:17" x14ac:dyDescent="0.3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t="s">
        <v>14</v>
      </c>
      <c r="G329">
        <v>33</v>
      </c>
      <c r="H329" t="s">
        <v>21</v>
      </c>
      <c r="I329" t="s">
        <v>22</v>
      </c>
      <c r="J329">
        <v>1566968400</v>
      </c>
      <c r="K329">
        <v>1567314000</v>
      </c>
      <c r="L329" t="b">
        <v>0</v>
      </c>
      <c r="M329" t="b">
        <v>1</v>
      </c>
      <c r="N329" t="s">
        <v>33</v>
      </c>
      <c r="O329" s="4">
        <f t="shared" si="15"/>
        <v>2.5948103792415171</v>
      </c>
      <c r="P329" t="str">
        <f t="shared" si="16"/>
        <v>theater</v>
      </c>
      <c r="Q329" t="str">
        <f t="shared" si="17"/>
        <v>plays</v>
      </c>
    </row>
    <row r="330" spans="1:17" ht="31.2" x14ac:dyDescent="0.3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t="s">
        <v>20</v>
      </c>
      <c r="G330">
        <v>2441</v>
      </c>
      <c r="H330" t="s">
        <v>21</v>
      </c>
      <c r="I330" t="s">
        <v>22</v>
      </c>
      <c r="J330">
        <v>1543557600</v>
      </c>
      <c r="K330">
        <v>1544508000</v>
      </c>
      <c r="L330" t="b">
        <v>0</v>
      </c>
      <c r="M330" t="b">
        <v>0</v>
      </c>
      <c r="N330" t="s">
        <v>23</v>
      </c>
      <c r="O330" s="4">
        <f t="shared" si="15"/>
        <v>0.74871421419143414</v>
      </c>
      <c r="P330" t="str">
        <f t="shared" si="16"/>
        <v>music</v>
      </c>
      <c r="Q330" t="str">
        <f t="shared" si="17"/>
        <v>rock</v>
      </c>
    </row>
    <row r="331" spans="1:17" x14ac:dyDescent="0.3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t="s">
        <v>47</v>
      </c>
      <c r="G331">
        <v>211</v>
      </c>
      <c r="H331" t="s">
        <v>21</v>
      </c>
      <c r="I331" t="s">
        <v>22</v>
      </c>
      <c r="J331">
        <v>1481522400</v>
      </c>
      <c r="K331">
        <v>1482472800</v>
      </c>
      <c r="L331" t="b">
        <v>0</v>
      </c>
      <c r="M331" t="b">
        <v>0</v>
      </c>
      <c r="N331" t="s">
        <v>89</v>
      </c>
      <c r="O331" s="4">
        <f t="shared" si="15"/>
        <v>4.3674628672533409</v>
      </c>
      <c r="P331" t="str">
        <f t="shared" si="16"/>
        <v>games</v>
      </c>
      <c r="Q331" t="str">
        <f t="shared" si="17"/>
        <v>video games</v>
      </c>
    </row>
    <row r="332" spans="1:17" ht="31.2" x14ac:dyDescent="0.3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t="s">
        <v>20</v>
      </c>
      <c r="G332">
        <v>1385</v>
      </c>
      <c r="H332" t="s">
        <v>40</v>
      </c>
      <c r="I332" t="s">
        <v>41</v>
      </c>
      <c r="J332">
        <v>1512712800</v>
      </c>
      <c r="K332">
        <v>1512799200</v>
      </c>
      <c r="L332" t="b">
        <v>0</v>
      </c>
      <c r="M332" t="b">
        <v>0</v>
      </c>
      <c r="N332" t="s">
        <v>42</v>
      </c>
      <c r="O332" s="4">
        <f t="shared" si="15"/>
        <v>0.54067062409754529</v>
      </c>
      <c r="P332" t="str">
        <f t="shared" si="16"/>
        <v>film &amp; video</v>
      </c>
      <c r="Q332" t="str">
        <f t="shared" si="17"/>
        <v>documentary</v>
      </c>
    </row>
    <row r="333" spans="1:17" x14ac:dyDescent="0.3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t="s">
        <v>20</v>
      </c>
      <c r="G333">
        <v>190</v>
      </c>
      <c r="H333" t="s">
        <v>21</v>
      </c>
      <c r="I333" t="s">
        <v>22</v>
      </c>
      <c r="J333">
        <v>1324274400</v>
      </c>
      <c r="K333">
        <v>1324360800</v>
      </c>
      <c r="L333" t="b">
        <v>0</v>
      </c>
      <c r="M333" t="b">
        <v>0</v>
      </c>
      <c r="N333" t="s">
        <v>17</v>
      </c>
      <c r="O333" s="4">
        <f t="shared" si="15"/>
        <v>0.22536365498873182</v>
      </c>
      <c r="P333" t="str">
        <f t="shared" si="16"/>
        <v>food</v>
      </c>
      <c r="Q333" t="str">
        <f t="shared" si="17"/>
        <v>food trucks</v>
      </c>
    </row>
    <row r="334" spans="1:17" ht="31.2" x14ac:dyDescent="0.3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t="s">
        <v>20</v>
      </c>
      <c r="G334">
        <v>470</v>
      </c>
      <c r="H334" t="s">
        <v>21</v>
      </c>
      <c r="I334" t="s">
        <v>22</v>
      </c>
      <c r="J334">
        <v>1364446800</v>
      </c>
      <c r="K334">
        <v>1364533200</v>
      </c>
      <c r="L334" t="b">
        <v>0</v>
      </c>
      <c r="M334" t="b">
        <v>0</v>
      </c>
      <c r="N334" t="s">
        <v>65</v>
      </c>
      <c r="O334" s="4">
        <f t="shared" si="15"/>
        <v>0.50004831384674853</v>
      </c>
      <c r="P334" t="str">
        <f t="shared" si="16"/>
        <v>technology</v>
      </c>
      <c r="Q334" t="str">
        <f t="shared" si="17"/>
        <v>wearables</v>
      </c>
    </row>
    <row r="335" spans="1:17" x14ac:dyDescent="0.3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t="s">
        <v>20</v>
      </c>
      <c r="G335">
        <v>253</v>
      </c>
      <c r="H335" t="s">
        <v>21</v>
      </c>
      <c r="I335" t="s">
        <v>22</v>
      </c>
      <c r="J335">
        <v>1542693600</v>
      </c>
      <c r="K335">
        <v>1545112800</v>
      </c>
      <c r="L335" t="b">
        <v>0</v>
      </c>
      <c r="M335" t="b">
        <v>0</v>
      </c>
      <c r="N335" t="s">
        <v>33</v>
      </c>
      <c r="O335" s="4">
        <f t="shared" si="15"/>
        <v>0.80672268907563027</v>
      </c>
      <c r="P335" t="str">
        <f t="shared" si="16"/>
        <v>theater</v>
      </c>
      <c r="Q335" t="str">
        <f t="shared" si="17"/>
        <v>plays</v>
      </c>
    </row>
    <row r="336" spans="1:17" x14ac:dyDescent="0.3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t="s">
        <v>20</v>
      </c>
      <c r="G336">
        <v>1113</v>
      </c>
      <c r="H336" t="s">
        <v>21</v>
      </c>
      <c r="I336" t="s">
        <v>22</v>
      </c>
      <c r="J336">
        <v>1515564000</v>
      </c>
      <c r="K336">
        <v>1516168800</v>
      </c>
      <c r="L336" t="b">
        <v>0</v>
      </c>
      <c r="M336" t="b">
        <v>0</v>
      </c>
      <c r="N336" t="s">
        <v>23</v>
      </c>
      <c r="O336" s="4">
        <f t="shared" si="15"/>
        <v>0.53586750635432012</v>
      </c>
      <c r="P336" t="str">
        <f t="shared" si="16"/>
        <v>music</v>
      </c>
      <c r="Q336" t="str">
        <f t="shared" si="17"/>
        <v>rock</v>
      </c>
    </row>
    <row r="337" spans="1:17" x14ac:dyDescent="0.3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t="s">
        <v>20</v>
      </c>
      <c r="G337">
        <v>2283</v>
      </c>
      <c r="H337" t="s">
        <v>21</v>
      </c>
      <c r="I337" t="s">
        <v>22</v>
      </c>
      <c r="J337">
        <v>1573797600</v>
      </c>
      <c r="K337">
        <v>1574920800</v>
      </c>
      <c r="L337" t="b">
        <v>0</v>
      </c>
      <c r="M337" t="b">
        <v>0</v>
      </c>
      <c r="N337" t="s">
        <v>23</v>
      </c>
      <c r="O337" s="4">
        <f t="shared" si="15"/>
        <v>0.87500251726846168</v>
      </c>
      <c r="P337" t="str">
        <f t="shared" si="16"/>
        <v>music</v>
      </c>
      <c r="Q337" t="str">
        <f t="shared" si="17"/>
        <v>rock</v>
      </c>
    </row>
    <row r="338" spans="1:17" x14ac:dyDescent="0.3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t="s">
        <v>14</v>
      </c>
      <c r="G338">
        <v>1072</v>
      </c>
      <c r="H338" t="s">
        <v>21</v>
      </c>
      <c r="I338" t="s">
        <v>22</v>
      </c>
      <c r="J338">
        <v>1292392800</v>
      </c>
      <c r="K338">
        <v>1292479200</v>
      </c>
      <c r="L338" t="b">
        <v>0</v>
      </c>
      <c r="M338" t="b">
        <v>1</v>
      </c>
      <c r="N338" t="s">
        <v>23</v>
      </c>
      <c r="O338" s="4">
        <f t="shared" si="15"/>
        <v>1.0305821987697152</v>
      </c>
      <c r="P338" t="str">
        <f t="shared" si="16"/>
        <v>music</v>
      </c>
      <c r="Q338" t="str">
        <f t="shared" si="17"/>
        <v>rock</v>
      </c>
    </row>
    <row r="339" spans="1:17" x14ac:dyDescent="0.3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t="s">
        <v>20</v>
      </c>
      <c r="G339">
        <v>1095</v>
      </c>
      <c r="H339" t="s">
        <v>21</v>
      </c>
      <c r="I339" t="s">
        <v>22</v>
      </c>
      <c r="J339">
        <v>1573452000</v>
      </c>
      <c r="K339">
        <v>1573538400</v>
      </c>
      <c r="L339" t="b">
        <v>0</v>
      </c>
      <c r="M339" t="b">
        <v>0</v>
      </c>
      <c r="N339" t="s">
        <v>33</v>
      </c>
      <c r="O339" s="4">
        <f t="shared" si="15"/>
        <v>0.81420595533498763</v>
      </c>
      <c r="P339" t="str">
        <f t="shared" si="16"/>
        <v>theater</v>
      </c>
      <c r="Q339" t="str">
        <f t="shared" si="17"/>
        <v>plays</v>
      </c>
    </row>
    <row r="340" spans="1:17" x14ac:dyDescent="0.3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t="s">
        <v>20</v>
      </c>
      <c r="G340">
        <v>1690</v>
      </c>
      <c r="H340" t="s">
        <v>21</v>
      </c>
      <c r="I340" t="s">
        <v>22</v>
      </c>
      <c r="J340">
        <v>1317790800</v>
      </c>
      <c r="K340">
        <v>1320382800</v>
      </c>
      <c r="L340" t="b">
        <v>0</v>
      </c>
      <c r="M340" t="b">
        <v>0</v>
      </c>
      <c r="N340" t="s">
        <v>33</v>
      </c>
      <c r="O340" s="4">
        <f t="shared" si="15"/>
        <v>0.55821244061995168</v>
      </c>
      <c r="P340" t="str">
        <f t="shared" si="16"/>
        <v>theater</v>
      </c>
      <c r="Q340" t="str">
        <f t="shared" si="17"/>
        <v>plays</v>
      </c>
    </row>
    <row r="341" spans="1:17" x14ac:dyDescent="0.3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t="s">
        <v>74</v>
      </c>
      <c r="G341">
        <v>1297</v>
      </c>
      <c r="H341" t="s">
        <v>15</v>
      </c>
      <c r="I341" t="s">
        <v>16</v>
      </c>
      <c r="J341">
        <v>1501650000</v>
      </c>
      <c r="K341">
        <v>1502859600</v>
      </c>
      <c r="L341" t="b">
        <v>0</v>
      </c>
      <c r="M341" t="b">
        <v>0</v>
      </c>
      <c r="N341" t="s">
        <v>33</v>
      </c>
      <c r="O341" s="4">
        <f t="shared" si="15"/>
        <v>1.2507570613173784</v>
      </c>
      <c r="P341" t="str">
        <f t="shared" si="16"/>
        <v>theater</v>
      </c>
      <c r="Q341" t="str">
        <f t="shared" si="17"/>
        <v>plays</v>
      </c>
    </row>
    <row r="342" spans="1:17" x14ac:dyDescent="0.3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t="s">
        <v>14</v>
      </c>
      <c r="G342">
        <v>393</v>
      </c>
      <c r="H342" t="s">
        <v>21</v>
      </c>
      <c r="I342" t="s">
        <v>22</v>
      </c>
      <c r="J342">
        <v>1323669600</v>
      </c>
      <c r="K342">
        <v>1323756000</v>
      </c>
      <c r="L342" t="b">
        <v>0</v>
      </c>
      <c r="M342" t="b">
        <v>0</v>
      </c>
      <c r="N342" t="s">
        <v>122</v>
      </c>
      <c r="O342" s="4">
        <f t="shared" si="15"/>
        <v>1.0610914083056859</v>
      </c>
      <c r="P342" t="str">
        <f t="shared" si="16"/>
        <v>photography</v>
      </c>
      <c r="Q342" t="str">
        <f t="shared" si="17"/>
        <v>photography books</v>
      </c>
    </row>
    <row r="343" spans="1:17" ht="31.2" x14ac:dyDescent="0.3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t="s">
        <v>14</v>
      </c>
      <c r="G343">
        <v>1257</v>
      </c>
      <c r="H343" t="s">
        <v>21</v>
      </c>
      <c r="I343" t="s">
        <v>22</v>
      </c>
      <c r="J343">
        <v>1440738000</v>
      </c>
      <c r="K343">
        <v>1441342800</v>
      </c>
      <c r="L343" t="b">
        <v>0</v>
      </c>
      <c r="M343" t="b">
        <v>0</v>
      </c>
      <c r="N343" t="s">
        <v>60</v>
      </c>
      <c r="O343" s="4">
        <f t="shared" si="15"/>
        <v>1.1810657490932763</v>
      </c>
      <c r="P343" t="str">
        <f t="shared" si="16"/>
        <v>music</v>
      </c>
      <c r="Q343" t="str">
        <f t="shared" si="17"/>
        <v>indie rock</v>
      </c>
    </row>
    <row r="344" spans="1:17" x14ac:dyDescent="0.3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t="s">
        <v>14</v>
      </c>
      <c r="G344">
        <v>328</v>
      </c>
      <c r="H344" t="s">
        <v>21</v>
      </c>
      <c r="I344" t="s">
        <v>22</v>
      </c>
      <c r="J344">
        <v>1374296400</v>
      </c>
      <c r="K344">
        <v>1375333200</v>
      </c>
      <c r="L344" t="b">
        <v>0</v>
      </c>
      <c r="M344" t="b">
        <v>0</v>
      </c>
      <c r="N344" t="s">
        <v>33</v>
      </c>
      <c r="O344" s="4">
        <f t="shared" si="15"/>
        <v>1.5032638714536781</v>
      </c>
      <c r="P344" t="str">
        <f t="shared" si="16"/>
        <v>theater</v>
      </c>
      <c r="Q344" t="str">
        <f t="shared" si="17"/>
        <v>plays</v>
      </c>
    </row>
    <row r="345" spans="1:17" x14ac:dyDescent="0.3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t="s">
        <v>14</v>
      </c>
      <c r="G345">
        <v>147</v>
      </c>
      <c r="H345" t="s">
        <v>21</v>
      </c>
      <c r="I345" t="s">
        <v>22</v>
      </c>
      <c r="J345">
        <v>1384840800</v>
      </c>
      <c r="K345">
        <v>1389420000</v>
      </c>
      <c r="L345" t="b">
        <v>0</v>
      </c>
      <c r="M345" t="b">
        <v>0</v>
      </c>
      <c r="N345" t="s">
        <v>33</v>
      </c>
      <c r="O345" s="4">
        <f t="shared" si="15"/>
        <v>1.8545229754790851</v>
      </c>
      <c r="P345" t="str">
        <f t="shared" si="16"/>
        <v>theater</v>
      </c>
      <c r="Q345" t="str">
        <f t="shared" si="17"/>
        <v>plays</v>
      </c>
    </row>
    <row r="346" spans="1:17" x14ac:dyDescent="0.3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t="s">
        <v>14</v>
      </c>
      <c r="G346">
        <v>830</v>
      </c>
      <c r="H346" t="s">
        <v>21</v>
      </c>
      <c r="I346" t="s">
        <v>22</v>
      </c>
      <c r="J346">
        <v>1516600800</v>
      </c>
      <c r="K346">
        <v>1520056800</v>
      </c>
      <c r="L346" t="b">
        <v>0</v>
      </c>
      <c r="M346" t="b">
        <v>0</v>
      </c>
      <c r="N346" t="s">
        <v>89</v>
      </c>
      <c r="O346" s="4">
        <f t="shared" si="15"/>
        <v>2.3818994925204016</v>
      </c>
      <c r="P346" t="str">
        <f t="shared" si="16"/>
        <v>games</v>
      </c>
      <c r="Q346" t="str">
        <f t="shared" si="17"/>
        <v>video games</v>
      </c>
    </row>
    <row r="347" spans="1:17" x14ac:dyDescent="0.3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t="s">
        <v>14</v>
      </c>
      <c r="G347">
        <v>331</v>
      </c>
      <c r="H347" t="s">
        <v>40</v>
      </c>
      <c r="I347" t="s">
        <v>41</v>
      </c>
      <c r="J347">
        <v>1436418000</v>
      </c>
      <c r="K347">
        <v>1436504400</v>
      </c>
      <c r="L347" t="b">
        <v>0</v>
      </c>
      <c r="M347" t="b">
        <v>0</v>
      </c>
      <c r="N347" t="s">
        <v>53</v>
      </c>
      <c r="O347" s="4">
        <f t="shared" si="15"/>
        <v>6.8051297551707757</v>
      </c>
      <c r="P347" t="str">
        <f t="shared" si="16"/>
        <v>film &amp; video</v>
      </c>
      <c r="Q347" t="str">
        <f t="shared" si="17"/>
        <v>drama</v>
      </c>
    </row>
    <row r="348" spans="1:17" x14ac:dyDescent="0.3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t="s">
        <v>14</v>
      </c>
      <c r="G348">
        <v>25</v>
      </c>
      <c r="H348" t="s">
        <v>21</v>
      </c>
      <c r="I348" t="s">
        <v>22</v>
      </c>
      <c r="J348">
        <v>1503550800</v>
      </c>
      <c r="K348">
        <v>1508302800</v>
      </c>
      <c r="L348" t="b">
        <v>0</v>
      </c>
      <c r="M348" t="b">
        <v>1</v>
      </c>
      <c r="N348" t="s">
        <v>60</v>
      </c>
      <c r="O348" s="4">
        <f t="shared" si="15"/>
        <v>2.9006526468455403</v>
      </c>
      <c r="P348" t="str">
        <f t="shared" si="16"/>
        <v>music</v>
      </c>
      <c r="Q348" t="str">
        <f t="shared" si="17"/>
        <v>indie rock</v>
      </c>
    </row>
    <row r="349" spans="1:17" x14ac:dyDescent="0.3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t="s">
        <v>20</v>
      </c>
      <c r="G349">
        <v>191</v>
      </c>
      <c r="H349" t="s">
        <v>21</v>
      </c>
      <c r="I349" t="s">
        <v>22</v>
      </c>
      <c r="J349">
        <v>1423634400</v>
      </c>
      <c r="K349">
        <v>1425708000</v>
      </c>
      <c r="L349" t="b">
        <v>0</v>
      </c>
      <c r="M349" t="b">
        <v>0</v>
      </c>
      <c r="N349" t="s">
        <v>28</v>
      </c>
      <c r="O349" s="4">
        <f t="shared" si="15"/>
        <v>7.1388910922503365E-2</v>
      </c>
      <c r="P349" t="str">
        <f t="shared" si="16"/>
        <v>technology</v>
      </c>
      <c r="Q349" t="str">
        <f t="shared" si="17"/>
        <v>web</v>
      </c>
    </row>
    <row r="350" spans="1:17" x14ac:dyDescent="0.3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t="s">
        <v>14</v>
      </c>
      <c r="G350">
        <v>3483</v>
      </c>
      <c r="H350" t="s">
        <v>21</v>
      </c>
      <c r="I350" t="s">
        <v>22</v>
      </c>
      <c r="J350">
        <v>1487224800</v>
      </c>
      <c r="K350">
        <v>1488348000</v>
      </c>
      <c r="L350" t="b">
        <v>0</v>
      </c>
      <c r="M350" t="b">
        <v>0</v>
      </c>
      <c r="N350" t="s">
        <v>17</v>
      </c>
      <c r="O350" s="4">
        <f t="shared" si="15"/>
        <v>1.3933330065885747</v>
      </c>
      <c r="P350" t="str">
        <f t="shared" si="16"/>
        <v>food</v>
      </c>
      <c r="Q350" t="str">
        <f t="shared" si="17"/>
        <v>food trucks</v>
      </c>
    </row>
    <row r="351" spans="1:17" x14ac:dyDescent="0.3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t="s">
        <v>14</v>
      </c>
      <c r="G351">
        <v>923</v>
      </c>
      <c r="H351" t="s">
        <v>21</v>
      </c>
      <c r="I351" t="s">
        <v>22</v>
      </c>
      <c r="J351">
        <v>1500008400</v>
      </c>
      <c r="K351">
        <v>1502600400</v>
      </c>
      <c r="L351" t="b">
        <v>0</v>
      </c>
      <c r="M351" t="b">
        <v>0</v>
      </c>
      <c r="N351" t="s">
        <v>33</v>
      </c>
      <c r="O351" s="4">
        <f t="shared" si="15"/>
        <v>1.8841576523062173</v>
      </c>
      <c r="P351" t="str">
        <f t="shared" si="16"/>
        <v>theater</v>
      </c>
      <c r="Q351" t="str">
        <f t="shared" si="17"/>
        <v>plays</v>
      </c>
    </row>
    <row r="352" spans="1:17" x14ac:dyDescent="0.3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t="s">
        <v>14</v>
      </c>
      <c r="G352">
        <v>1</v>
      </c>
      <c r="H352" t="s">
        <v>21</v>
      </c>
      <c r="I352" t="s">
        <v>22</v>
      </c>
      <c r="J352">
        <v>1432098000</v>
      </c>
      <c r="K352">
        <v>1433653200</v>
      </c>
      <c r="L352" t="b">
        <v>0</v>
      </c>
      <c r="M352" t="b">
        <v>1</v>
      </c>
      <c r="N352" t="s">
        <v>159</v>
      </c>
      <c r="O352" s="4">
        <f t="shared" si="15"/>
        <v>20</v>
      </c>
      <c r="P352" t="str">
        <f t="shared" si="16"/>
        <v>music</v>
      </c>
      <c r="Q352" t="str">
        <f t="shared" si="17"/>
        <v>jazz</v>
      </c>
    </row>
    <row r="353" spans="1:17" x14ac:dyDescent="0.3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t="s">
        <v>20</v>
      </c>
      <c r="G353">
        <v>2013</v>
      </c>
      <c r="H353" t="s">
        <v>21</v>
      </c>
      <c r="I353" t="s">
        <v>22</v>
      </c>
      <c r="J353">
        <v>1440392400</v>
      </c>
      <c r="K353">
        <v>1441602000</v>
      </c>
      <c r="L353" t="b">
        <v>0</v>
      </c>
      <c r="M353" t="b">
        <v>0</v>
      </c>
      <c r="N353" t="s">
        <v>23</v>
      </c>
      <c r="O353" s="4">
        <f t="shared" si="15"/>
        <v>0.7830414980291871</v>
      </c>
      <c r="P353" t="str">
        <f t="shared" si="16"/>
        <v>music</v>
      </c>
      <c r="Q353" t="str">
        <f t="shared" si="17"/>
        <v>rock</v>
      </c>
    </row>
    <row r="354" spans="1:17" x14ac:dyDescent="0.3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t="s">
        <v>14</v>
      </c>
      <c r="G354">
        <v>33</v>
      </c>
      <c r="H354" t="s">
        <v>15</v>
      </c>
      <c r="I354" t="s">
        <v>16</v>
      </c>
      <c r="J354">
        <v>1446876000</v>
      </c>
      <c r="K354">
        <v>1447567200</v>
      </c>
      <c r="L354" t="b">
        <v>0</v>
      </c>
      <c r="M354" t="b">
        <v>0</v>
      </c>
      <c r="N354" t="s">
        <v>33</v>
      </c>
      <c r="O354" s="4">
        <f t="shared" si="15"/>
        <v>2.8659160696008188</v>
      </c>
      <c r="P354" t="str">
        <f t="shared" si="16"/>
        <v>theater</v>
      </c>
      <c r="Q354" t="str">
        <f t="shared" si="17"/>
        <v>plays</v>
      </c>
    </row>
    <row r="355" spans="1:17" x14ac:dyDescent="0.3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t="s">
        <v>20</v>
      </c>
      <c r="G355">
        <v>1703</v>
      </c>
      <c r="H355" t="s">
        <v>21</v>
      </c>
      <c r="I355" t="s">
        <v>22</v>
      </c>
      <c r="J355">
        <v>1562302800</v>
      </c>
      <c r="K355">
        <v>1562389200</v>
      </c>
      <c r="L355" t="b">
        <v>0</v>
      </c>
      <c r="M355" t="b">
        <v>0</v>
      </c>
      <c r="N355" t="s">
        <v>33</v>
      </c>
      <c r="O355" s="4">
        <f t="shared" si="15"/>
        <v>0.24354708939482897</v>
      </c>
      <c r="P355" t="str">
        <f t="shared" si="16"/>
        <v>theater</v>
      </c>
      <c r="Q355" t="str">
        <f t="shared" si="17"/>
        <v>plays</v>
      </c>
    </row>
    <row r="356" spans="1:17" x14ac:dyDescent="0.3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t="s">
        <v>20</v>
      </c>
      <c r="G356">
        <v>80</v>
      </c>
      <c r="H356" t="s">
        <v>36</v>
      </c>
      <c r="I356" t="s">
        <v>37</v>
      </c>
      <c r="J356">
        <v>1378184400</v>
      </c>
      <c r="K356">
        <v>1378789200</v>
      </c>
      <c r="L356" t="b">
        <v>0</v>
      </c>
      <c r="M356" t="b">
        <v>0</v>
      </c>
      <c r="N356" t="s">
        <v>42</v>
      </c>
      <c r="O356" s="4">
        <f t="shared" si="15"/>
        <v>0.80816110227874938</v>
      </c>
      <c r="P356" t="str">
        <f t="shared" si="16"/>
        <v>film &amp; video</v>
      </c>
      <c r="Q356" t="str">
        <f t="shared" si="17"/>
        <v>documentary</v>
      </c>
    </row>
    <row r="357" spans="1:17" x14ac:dyDescent="0.3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t="s">
        <v>47</v>
      </c>
      <c r="G357">
        <v>86</v>
      </c>
      <c r="H357" t="s">
        <v>21</v>
      </c>
      <c r="I357" t="s">
        <v>22</v>
      </c>
      <c r="J357">
        <v>1485064800</v>
      </c>
      <c r="K357">
        <v>1488520800</v>
      </c>
      <c r="L357" t="b">
        <v>0</v>
      </c>
      <c r="M357" t="b">
        <v>0</v>
      </c>
      <c r="N357" t="s">
        <v>65</v>
      </c>
      <c r="O357" s="4">
        <f t="shared" si="15"/>
        <v>1.6956715751896474</v>
      </c>
      <c r="P357" t="str">
        <f t="shared" si="16"/>
        <v>technology</v>
      </c>
      <c r="Q357" t="str">
        <f t="shared" si="17"/>
        <v>wearables</v>
      </c>
    </row>
    <row r="358" spans="1:17" x14ac:dyDescent="0.3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t="s">
        <v>14</v>
      </c>
      <c r="G358">
        <v>40</v>
      </c>
      <c r="H358" t="s">
        <v>107</v>
      </c>
      <c r="I358" t="s">
        <v>108</v>
      </c>
      <c r="J358">
        <v>1326520800</v>
      </c>
      <c r="K358">
        <v>1327298400</v>
      </c>
      <c r="L358" t="b">
        <v>0</v>
      </c>
      <c r="M358" t="b">
        <v>0</v>
      </c>
      <c r="N358" t="s">
        <v>33</v>
      </c>
      <c r="O358" s="4">
        <f t="shared" si="15"/>
        <v>2.7105800058292044</v>
      </c>
      <c r="P358" t="str">
        <f t="shared" si="16"/>
        <v>theater</v>
      </c>
      <c r="Q358" t="str">
        <f t="shared" si="17"/>
        <v>plays</v>
      </c>
    </row>
    <row r="359" spans="1:17" x14ac:dyDescent="0.3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t="s">
        <v>20</v>
      </c>
      <c r="G359">
        <v>41</v>
      </c>
      <c r="H359" t="s">
        <v>21</v>
      </c>
      <c r="I359" t="s">
        <v>22</v>
      </c>
      <c r="J359">
        <v>1441256400</v>
      </c>
      <c r="K359">
        <v>1443416400</v>
      </c>
      <c r="L359" t="b">
        <v>0</v>
      </c>
      <c r="M359" t="b">
        <v>0</v>
      </c>
      <c r="N359" t="s">
        <v>89</v>
      </c>
      <c r="O359" s="4">
        <f t="shared" si="15"/>
        <v>0.54079473312955562</v>
      </c>
      <c r="P359" t="str">
        <f t="shared" si="16"/>
        <v>games</v>
      </c>
      <c r="Q359" t="str">
        <f t="shared" si="17"/>
        <v>video games</v>
      </c>
    </row>
    <row r="360" spans="1:17" x14ac:dyDescent="0.3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t="s">
        <v>14</v>
      </c>
      <c r="G360">
        <v>23</v>
      </c>
      <c r="H360" t="s">
        <v>15</v>
      </c>
      <c r="I360" t="s">
        <v>16</v>
      </c>
      <c r="J360">
        <v>1533877200</v>
      </c>
      <c r="K360">
        <v>1534136400</v>
      </c>
      <c r="L360" t="b">
        <v>1</v>
      </c>
      <c r="M360" t="b">
        <v>0</v>
      </c>
      <c r="N360" t="s">
        <v>122</v>
      </c>
      <c r="O360" s="4">
        <f t="shared" si="15"/>
        <v>8.4642233856893547</v>
      </c>
      <c r="P360" t="str">
        <f t="shared" si="16"/>
        <v>photography</v>
      </c>
      <c r="Q360" t="str">
        <f t="shared" si="17"/>
        <v>photography books</v>
      </c>
    </row>
    <row r="361" spans="1:17" x14ac:dyDescent="0.3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t="s">
        <v>20</v>
      </c>
      <c r="G361">
        <v>187</v>
      </c>
      <c r="H361" t="s">
        <v>21</v>
      </c>
      <c r="I361" t="s">
        <v>22</v>
      </c>
      <c r="J361">
        <v>1314421200</v>
      </c>
      <c r="K361">
        <v>1315026000</v>
      </c>
      <c r="L361" t="b">
        <v>0</v>
      </c>
      <c r="M361" t="b">
        <v>0</v>
      </c>
      <c r="N361" t="s">
        <v>71</v>
      </c>
      <c r="O361" s="4">
        <f t="shared" si="15"/>
        <v>0.33478406427854035</v>
      </c>
      <c r="P361" t="str">
        <f t="shared" si="16"/>
        <v>film &amp; video</v>
      </c>
      <c r="Q361" t="str">
        <f t="shared" si="17"/>
        <v>animation</v>
      </c>
    </row>
    <row r="362" spans="1:17" x14ac:dyDescent="0.3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t="s">
        <v>20</v>
      </c>
      <c r="G362">
        <v>2875</v>
      </c>
      <c r="H362" t="s">
        <v>40</v>
      </c>
      <c r="I362" t="s">
        <v>41</v>
      </c>
      <c r="J362">
        <v>1293861600</v>
      </c>
      <c r="K362">
        <v>1295071200</v>
      </c>
      <c r="L362" t="b">
        <v>0</v>
      </c>
      <c r="M362" t="b">
        <v>1</v>
      </c>
      <c r="N362" t="s">
        <v>33</v>
      </c>
      <c r="O362" s="4">
        <f t="shared" si="15"/>
        <v>0.4417902495337892</v>
      </c>
      <c r="P362" t="str">
        <f t="shared" si="16"/>
        <v>theater</v>
      </c>
      <c r="Q362" t="str">
        <f t="shared" si="17"/>
        <v>plays</v>
      </c>
    </row>
    <row r="363" spans="1:17" x14ac:dyDescent="0.3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t="s">
        <v>20</v>
      </c>
      <c r="G363">
        <v>88</v>
      </c>
      <c r="H363" t="s">
        <v>21</v>
      </c>
      <c r="I363" t="s">
        <v>22</v>
      </c>
      <c r="J363">
        <v>1507352400</v>
      </c>
      <c r="K363">
        <v>1509426000</v>
      </c>
      <c r="L363" t="b">
        <v>0</v>
      </c>
      <c r="M363" t="b">
        <v>0</v>
      </c>
      <c r="N363" t="s">
        <v>33</v>
      </c>
      <c r="O363" s="4">
        <f t="shared" si="15"/>
        <v>0.57615755290173898</v>
      </c>
      <c r="P363" t="str">
        <f t="shared" si="16"/>
        <v>theater</v>
      </c>
      <c r="Q363" t="str">
        <f t="shared" si="17"/>
        <v>plays</v>
      </c>
    </row>
    <row r="364" spans="1:17" x14ac:dyDescent="0.3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t="s">
        <v>20</v>
      </c>
      <c r="G364">
        <v>191</v>
      </c>
      <c r="H364" t="s">
        <v>21</v>
      </c>
      <c r="I364" t="s">
        <v>22</v>
      </c>
      <c r="J364">
        <v>1296108000</v>
      </c>
      <c r="K364">
        <v>1299391200</v>
      </c>
      <c r="L364" t="b">
        <v>0</v>
      </c>
      <c r="M364" t="b">
        <v>0</v>
      </c>
      <c r="N364" t="s">
        <v>23</v>
      </c>
      <c r="O364" s="4">
        <f t="shared" si="15"/>
        <v>0.26899309342057431</v>
      </c>
      <c r="P364" t="str">
        <f t="shared" si="16"/>
        <v>music</v>
      </c>
      <c r="Q364" t="str">
        <f t="shared" si="17"/>
        <v>rock</v>
      </c>
    </row>
    <row r="365" spans="1:17" x14ac:dyDescent="0.3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t="s">
        <v>20</v>
      </c>
      <c r="G365">
        <v>139</v>
      </c>
      <c r="H365" t="s">
        <v>21</v>
      </c>
      <c r="I365" t="s">
        <v>22</v>
      </c>
      <c r="J365">
        <v>1324965600</v>
      </c>
      <c r="K365">
        <v>1325052000</v>
      </c>
      <c r="L365" t="b">
        <v>0</v>
      </c>
      <c r="M365" t="b">
        <v>0</v>
      </c>
      <c r="N365" t="s">
        <v>23</v>
      </c>
      <c r="O365" s="4">
        <f t="shared" si="15"/>
        <v>0.62424969987995194</v>
      </c>
      <c r="P365" t="str">
        <f t="shared" si="16"/>
        <v>music</v>
      </c>
      <c r="Q365" t="str">
        <f t="shared" si="17"/>
        <v>rock</v>
      </c>
    </row>
    <row r="366" spans="1:17" x14ac:dyDescent="0.3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t="s">
        <v>20</v>
      </c>
      <c r="G366">
        <v>186</v>
      </c>
      <c r="H366" t="s">
        <v>21</v>
      </c>
      <c r="I366" t="s">
        <v>22</v>
      </c>
      <c r="J366">
        <v>1520229600</v>
      </c>
      <c r="K366">
        <v>1522818000</v>
      </c>
      <c r="L366" t="b">
        <v>0</v>
      </c>
      <c r="M366" t="b">
        <v>0</v>
      </c>
      <c r="N366" t="s">
        <v>60</v>
      </c>
      <c r="O366" s="4">
        <f t="shared" si="15"/>
        <v>6.1868426479686531E-2</v>
      </c>
      <c r="P366" t="str">
        <f t="shared" si="16"/>
        <v>music</v>
      </c>
      <c r="Q366" t="str">
        <f t="shared" si="17"/>
        <v>indie rock</v>
      </c>
    </row>
    <row r="367" spans="1:17" x14ac:dyDescent="0.3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t="s">
        <v>20</v>
      </c>
      <c r="G367">
        <v>112</v>
      </c>
      <c r="H367" t="s">
        <v>26</v>
      </c>
      <c r="I367" t="s">
        <v>27</v>
      </c>
      <c r="J367">
        <v>1482991200</v>
      </c>
      <c r="K367">
        <v>1485324000</v>
      </c>
      <c r="L367" t="b">
        <v>0</v>
      </c>
      <c r="M367" t="b">
        <v>0</v>
      </c>
      <c r="N367" t="s">
        <v>33</v>
      </c>
      <c r="O367" s="4">
        <f t="shared" si="15"/>
        <v>0.13634426927993182</v>
      </c>
      <c r="P367" t="str">
        <f t="shared" si="16"/>
        <v>theater</v>
      </c>
      <c r="Q367" t="str">
        <f t="shared" si="17"/>
        <v>plays</v>
      </c>
    </row>
    <row r="368" spans="1:17" x14ac:dyDescent="0.3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t="s">
        <v>20</v>
      </c>
      <c r="G368">
        <v>101</v>
      </c>
      <c r="H368" t="s">
        <v>21</v>
      </c>
      <c r="I368" t="s">
        <v>22</v>
      </c>
      <c r="J368">
        <v>1294034400</v>
      </c>
      <c r="K368">
        <v>1294120800</v>
      </c>
      <c r="L368" t="b">
        <v>0</v>
      </c>
      <c r="M368" t="b">
        <v>1</v>
      </c>
      <c r="N368" t="s">
        <v>33</v>
      </c>
      <c r="O368" s="4">
        <f t="shared" si="15"/>
        <v>0.1688872208669544</v>
      </c>
      <c r="P368" t="str">
        <f t="shared" si="16"/>
        <v>theater</v>
      </c>
      <c r="Q368" t="str">
        <f t="shared" si="17"/>
        <v>plays</v>
      </c>
    </row>
    <row r="369" spans="1:17" x14ac:dyDescent="0.3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t="s">
        <v>14</v>
      </c>
      <c r="G369">
        <v>75</v>
      </c>
      <c r="H369" t="s">
        <v>21</v>
      </c>
      <c r="I369" t="s">
        <v>22</v>
      </c>
      <c r="J369">
        <v>1413608400</v>
      </c>
      <c r="K369">
        <v>1415685600</v>
      </c>
      <c r="L369" t="b">
        <v>0</v>
      </c>
      <c r="M369" t="b">
        <v>1</v>
      </c>
      <c r="N369" t="s">
        <v>33</v>
      </c>
      <c r="O369" s="4">
        <f t="shared" si="15"/>
        <v>5.2941176470588234</v>
      </c>
      <c r="P369" t="str">
        <f t="shared" si="16"/>
        <v>theater</v>
      </c>
      <c r="Q369" t="str">
        <f t="shared" si="17"/>
        <v>plays</v>
      </c>
    </row>
    <row r="370" spans="1:17" x14ac:dyDescent="0.3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t="s">
        <v>20</v>
      </c>
      <c r="G370">
        <v>206</v>
      </c>
      <c r="H370" t="s">
        <v>40</v>
      </c>
      <c r="I370" t="s">
        <v>41</v>
      </c>
      <c r="J370">
        <v>1286946000</v>
      </c>
      <c r="K370">
        <v>1288933200</v>
      </c>
      <c r="L370" t="b">
        <v>0</v>
      </c>
      <c r="M370" t="b">
        <v>1</v>
      </c>
      <c r="N370" t="s">
        <v>42</v>
      </c>
      <c r="O370" s="4">
        <f t="shared" si="15"/>
        <v>0.36126163679310824</v>
      </c>
      <c r="P370" t="str">
        <f t="shared" si="16"/>
        <v>film &amp; video</v>
      </c>
      <c r="Q370" t="str">
        <f t="shared" si="17"/>
        <v>documentary</v>
      </c>
    </row>
    <row r="371" spans="1:17" x14ac:dyDescent="0.3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t="s">
        <v>20</v>
      </c>
      <c r="G371">
        <v>154</v>
      </c>
      <c r="H371" t="s">
        <v>21</v>
      </c>
      <c r="I371" t="s">
        <v>22</v>
      </c>
      <c r="J371">
        <v>1359871200</v>
      </c>
      <c r="K371">
        <v>1363237200</v>
      </c>
      <c r="L371" t="b">
        <v>0</v>
      </c>
      <c r="M371" t="b">
        <v>1</v>
      </c>
      <c r="N371" t="s">
        <v>269</v>
      </c>
      <c r="O371" s="4">
        <f t="shared" si="15"/>
        <v>0.36627552058604085</v>
      </c>
      <c r="P371" t="str">
        <f t="shared" si="16"/>
        <v>film &amp; video</v>
      </c>
      <c r="Q371" t="str">
        <f t="shared" si="17"/>
        <v>television</v>
      </c>
    </row>
    <row r="372" spans="1:17" x14ac:dyDescent="0.3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t="s">
        <v>20</v>
      </c>
      <c r="G372">
        <v>5966</v>
      </c>
      <c r="H372" t="s">
        <v>21</v>
      </c>
      <c r="I372" t="s">
        <v>22</v>
      </c>
      <c r="J372">
        <v>1555304400</v>
      </c>
      <c r="K372">
        <v>1555822800</v>
      </c>
      <c r="L372" t="b">
        <v>0</v>
      </c>
      <c r="M372" t="b">
        <v>0</v>
      </c>
      <c r="N372" t="s">
        <v>33</v>
      </c>
      <c r="O372" s="4">
        <f t="shared" si="15"/>
        <v>0.62749699661945069</v>
      </c>
      <c r="P372" t="str">
        <f t="shared" si="16"/>
        <v>theater</v>
      </c>
      <c r="Q372" t="str">
        <f t="shared" si="17"/>
        <v>plays</v>
      </c>
    </row>
    <row r="373" spans="1:17" x14ac:dyDescent="0.3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t="s">
        <v>14</v>
      </c>
      <c r="G373">
        <v>2176</v>
      </c>
      <c r="H373" t="s">
        <v>21</v>
      </c>
      <c r="I373" t="s">
        <v>22</v>
      </c>
      <c r="J373">
        <v>1423375200</v>
      </c>
      <c r="K373">
        <v>1427778000</v>
      </c>
      <c r="L373" t="b">
        <v>0</v>
      </c>
      <c r="M373" t="b">
        <v>0</v>
      </c>
      <c r="N373" t="s">
        <v>33</v>
      </c>
      <c r="O373" s="4">
        <f t="shared" si="15"/>
        <v>1.4734054980141733</v>
      </c>
      <c r="P373" t="str">
        <f t="shared" si="16"/>
        <v>theater</v>
      </c>
      <c r="Q373" t="str">
        <f t="shared" si="17"/>
        <v>plays</v>
      </c>
    </row>
    <row r="374" spans="1:17" ht="31.2" x14ac:dyDescent="0.3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t="s">
        <v>20</v>
      </c>
      <c r="G374">
        <v>169</v>
      </c>
      <c r="H374" t="s">
        <v>21</v>
      </c>
      <c r="I374" t="s">
        <v>22</v>
      </c>
      <c r="J374">
        <v>1420696800</v>
      </c>
      <c r="K374">
        <v>1422424800</v>
      </c>
      <c r="L374" t="b">
        <v>0</v>
      </c>
      <c r="M374" t="b">
        <v>1</v>
      </c>
      <c r="N374" t="s">
        <v>42</v>
      </c>
      <c r="O374" s="4">
        <f t="shared" si="15"/>
        <v>6.2831611281764871E-2</v>
      </c>
      <c r="P374" t="str">
        <f t="shared" si="16"/>
        <v>film &amp; video</v>
      </c>
      <c r="Q374" t="str">
        <f t="shared" si="17"/>
        <v>documentary</v>
      </c>
    </row>
    <row r="375" spans="1:17" x14ac:dyDescent="0.3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t="s">
        <v>20</v>
      </c>
      <c r="G375">
        <v>2106</v>
      </c>
      <c r="H375" t="s">
        <v>21</v>
      </c>
      <c r="I375" t="s">
        <v>22</v>
      </c>
      <c r="J375">
        <v>1502946000</v>
      </c>
      <c r="K375">
        <v>1503637200</v>
      </c>
      <c r="L375" t="b">
        <v>0</v>
      </c>
      <c r="M375" t="b">
        <v>0</v>
      </c>
      <c r="N375" t="s">
        <v>33</v>
      </c>
      <c r="O375" s="4">
        <f t="shared" si="15"/>
        <v>0.13695211545367672</v>
      </c>
      <c r="P375" t="str">
        <f t="shared" si="16"/>
        <v>theater</v>
      </c>
      <c r="Q375" t="str">
        <f t="shared" si="17"/>
        <v>plays</v>
      </c>
    </row>
    <row r="376" spans="1:17" ht="31.2" x14ac:dyDescent="0.3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t="s">
        <v>14</v>
      </c>
      <c r="G376">
        <v>441</v>
      </c>
      <c r="H376" t="s">
        <v>21</v>
      </c>
      <c r="I376" t="s">
        <v>22</v>
      </c>
      <c r="J376">
        <v>1547186400</v>
      </c>
      <c r="K376">
        <v>1547618400</v>
      </c>
      <c r="L376" t="b">
        <v>0</v>
      </c>
      <c r="M376" t="b">
        <v>1</v>
      </c>
      <c r="N376" t="s">
        <v>42</v>
      </c>
      <c r="O376" s="4">
        <f t="shared" si="15"/>
        <v>7.5839260635165138</v>
      </c>
      <c r="P376" t="str">
        <f t="shared" si="16"/>
        <v>film &amp; video</v>
      </c>
      <c r="Q376" t="str">
        <f t="shared" si="17"/>
        <v>documentary</v>
      </c>
    </row>
    <row r="377" spans="1:17" ht="31.2" x14ac:dyDescent="0.3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t="s">
        <v>14</v>
      </c>
      <c r="G377">
        <v>25</v>
      </c>
      <c r="H377" t="s">
        <v>21</v>
      </c>
      <c r="I377" t="s">
        <v>22</v>
      </c>
      <c r="J377">
        <v>1444971600</v>
      </c>
      <c r="K377">
        <v>1449900000</v>
      </c>
      <c r="L377" t="b">
        <v>0</v>
      </c>
      <c r="M377" t="b">
        <v>0</v>
      </c>
      <c r="N377" t="s">
        <v>60</v>
      </c>
      <c r="O377" s="4">
        <f t="shared" si="15"/>
        <v>1.8255578093306288</v>
      </c>
      <c r="P377" t="str">
        <f t="shared" si="16"/>
        <v>music</v>
      </c>
      <c r="Q377" t="str">
        <f t="shared" si="17"/>
        <v>indie rock</v>
      </c>
    </row>
    <row r="378" spans="1:17" x14ac:dyDescent="0.3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t="s">
        <v>20</v>
      </c>
      <c r="G378">
        <v>131</v>
      </c>
      <c r="H378" t="s">
        <v>21</v>
      </c>
      <c r="I378" t="s">
        <v>22</v>
      </c>
      <c r="J378">
        <v>1404622800</v>
      </c>
      <c r="K378">
        <v>1405141200</v>
      </c>
      <c r="L378" t="b">
        <v>0</v>
      </c>
      <c r="M378" t="b">
        <v>0</v>
      </c>
      <c r="N378" t="s">
        <v>23</v>
      </c>
      <c r="O378" s="4">
        <f t="shared" si="15"/>
        <v>0.27698574338085541</v>
      </c>
      <c r="P378" t="str">
        <f t="shared" si="16"/>
        <v>music</v>
      </c>
      <c r="Q378" t="str">
        <f t="shared" si="17"/>
        <v>rock</v>
      </c>
    </row>
    <row r="379" spans="1:17" x14ac:dyDescent="0.3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t="s">
        <v>14</v>
      </c>
      <c r="G379">
        <v>127</v>
      </c>
      <c r="H379" t="s">
        <v>21</v>
      </c>
      <c r="I379" t="s">
        <v>22</v>
      </c>
      <c r="J379">
        <v>1571720400</v>
      </c>
      <c r="K379">
        <v>1572933600</v>
      </c>
      <c r="L379" t="b">
        <v>0</v>
      </c>
      <c r="M379" t="b">
        <v>0</v>
      </c>
      <c r="N379" t="s">
        <v>33</v>
      </c>
      <c r="O379" s="4">
        <f t="shared" si="15"/>
        <v>9.7489211455472731</v>
      </c>
      <c r="P379" t="str">
        <f t="shared" si="16"/>
        <v>theater</v>
      </c>
      <c r="Q379" t="str">
        <f t="shared" si="17"/>
        <v>plays</v>
      </c>
    </row>
    <row r="380" spans="1:17" x14ac:dyDescent="0.3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t="s">
        <v>14</v>
      </c>
      <c r="G380">
        <v>355</v>
      </c>
      <c r="H380" t="s">
        <v>21</v>
      </c>
      <c r="I380" t="s">
        <v>22</v>
      </c>
      <c r="J380">
        <v>1526878800</v>
      </c>
      <c r="K380">
        <v>1530162000</v>
      </c>
      <c r="L380" t="b">
        <v>0</v>
      </c>
      <c r="M380" t="b">
        <v>0</v>
      </c>
      <c r="N380" t="s">
        <v>42</v>
      </c>
      <c r="O380" s="4">
        <f t="shared" si="15"/>
        <v>7.1618037135278518</v>
      </c>
      <c r="P380" t="str">
        <f t="shared" si="16"/>
        <v>film &amp; video</v>
      </c>
      <c r="Q380" t="str">
        <f t="shared" si="17"/>
        <v>documentary</v>
      </c>
    </row>
    <row r="381" spans="1:17" x14ac:dyDescent="0.3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t="s">
        <v>14</v>
      </c>
      <c r="G381">
        <v>44</v>
      </c>
      <c r="H381" t="s">
        <v>40</v>
      </c>
      <c r="I381" t="s">
        <v>41</v>
      </c>
      <c r="J381">
        <v>1319691600</v>
      </c>
      <c r="K381">
        <v>1320904800</v>
      </c>
      <c r="L381" t="b">
        <v>0</v>
      </c>
      <c r="M381" t="b">
        <v>0</v>
      </c>
      <c r="N381" t="s">
        <v>33</v>
      </c>
      <c r="O381" s="4">
        <f t="shared" si="15"/>
        <v>2.4725274725274726</v>
      </c>
      <c r="P381" t="str">
        <f t="shared" si="16"/>
        <v>theater</v>
      </c>
      <c r="Q381" t="str">
        <f t="shared" si="17"/>
        <v>plays</v>
      </c>
    </row>
    <row r="382" spans="1:17" ht="31.2" x14ac:dyDescent="0.3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t="s">
        <v>20</v>
      </c>
      <c r="G382">
        <v>84</v>
      </c>
      <c r="H382" t="s">
        <v>21</v>
      </c>
      <c r="I382" t="s">
        <v>22</v>
      </c>
      <c r="J382">
        <v>1371963600</v>
      </c>
      <c r="K382">
        <v>1372395600</v>
      </c>
      <c r="L382" t="b">
        <v>0</v>
      </c>
      <c r="M382" t="b">
        <v>0</v>
      </c>
      <c r="N382" t="s">
        <v>33</v>
      </c>
      <c r="O382" s="4">
        <f t="shared" si="15"/>
        <v>0.62375249500998009</v>
      </c>
      <c r="P382" t="str">
        <f t="shared" si="16"/>
        <v>theater</v>
      </c>
      <c r="Q382" t="str">
        <f t="shared" si="17"/>
        <v>plays</v>
      </c>
    </row>
    <row r="383" spans="1:17" x14ac:dyDescent="0.3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t="s">
        <v>20</v>
      </c>
      <c r="G383">
        <v>155</v>
      </c>
      <c r="H383" t="s">
        <v>21</v>
      </c>
      <c r="I383" t="s">
        <v>22</v>
      </c>
      <c r="J383">
        <v>1433739600</v>
      </c>
      <c r="K383">
        <v>1437714000</v>
      </c>
      <c r="L383" t="b">
        <v>0</v>
      </c>
      <c r="M383" t="b">
        <v>0</v>
      </c>
      <c r="N383" t="s">
        <v>33</v>
      </c>
      <c r="O383" s="4">
        <f t="shared" si="15"/>
        <v>0.54364550210277973</v>
      </c>
      <c r="P383" t="str">
        <f t="shared" si="16"/>
        <v>theater</v>
      </c>
      <c r="Q383" t="str">
        <f t="shared" si="17"/>
        <v>plays</v>
      </c>
    </row>
    <row r="384" spans="1:17" ht="31.2" x14ac:dyDescent="0.3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t="s">
        <v>14</v>
      </c>
      <c r="G384">
        <v>67</v>
      </c>
      <c r="H384" t="s">
        <v>21</v>
      </c>
      <c r="I384" t="s">
        <v>22</v>
      </c>
      <c r="J384">
        <v>1508130000</v>
      </c>
      <c r="K384">
        <v>1509771600</v>
      </c>
      <c r="L384" t="b">
        <v>0</v>
      </c>
      <c r="M384" t="b">
        <v>0</v>
      </c>
      <c r="N384" t="s">
        <v>122</v>
      </c>
      <c r="O384" s="4">
        <f t="shared" si="15"/>
        <v>1.5681544028950543</v>
      </c>
      <c r="P384" t="str">
        <f t="shared" si="16"/>
        <v>photography</v>
      </c>
      <c r="Q384" t="str">
        <f t="shared" si="17"/>
        <v>photography books</v>
      </c>
    </row>
    <row r="385" spans="1:17" x14ac:dyDescent="0.3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t="s">
        <v>20</v>
      </c>
      <c r="G385">
        <v>189</v>
      </c>
      <c r="H385" t="s">
        <v>21</v>
      </c>
      <c r="I385" t="s">
        <v>22</v>
      </c>
      <c r="J385">
        <v>1550037600</v>
      </c>
      <c r="K385">
        <v>1550556000</v>
      </c>
      <c r="L385" t="b">
        <v>0</v>
      </c>
      <c r="M385" t="b">
        <v>1</v>
      </c>
      <c r="N385" t="s">
        <v>17</v>
      </c>
      <c r="O385" s="4">
        <f t="shared" si="15"/>
        <v>0.44369321783224169</v>
      </c>
      <c r="P385" t="str">
        <f t="shared" si="16"/>
        <v>food</v>
      </c>
      <c r="Q385" t="str">
        <f t="shared" si="17"/>
        <v>food trucks</v>
      </c>
    </row>
    <row r="386" spans="1:17" x14ac:dyDescent="0.3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t="s">
        <v>20</v>
      </c>
      <c r="G386">
        <v>4799</v>
      </c>
      <c r="H386" t="s">
        <v>21</v>
      </c>
      <c r="I386" t="s">
        <v>22</v>
      </c>
      <c r="J386">
        <v>1486706400</v>
      </c>
      <c r="K386">
        <v>1489039200</v>
      </c>
      <c r="L386" t="b">
        <v>1</v>
      </c>
      <c r="M386" t="b">
        <v>1</v>
      </c>
      <c r="N386" t="s">
        <v>42</v>
      </c>
      <c r="O386" s="4">
        <f t="shared" si="15"/>
        <v>0.58136284867795851</v>
      </c>
      <c r="P386" t="str">
        <f t="shared" si="16"/>
        <v>film &amp; video</v>
      </c>
      <c r="Q386" t="str">
        <f t="shared" si="17"/>
        <v>documentary</v>
      </c>
    </row>
    <row r="387" spans="1:17" ht="31.2" x14ac:dyDescent="0.3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t="s">
        <v>20</v>
      </c>
      <c r="G387">
        <v>1137</v>
      </c>
      <c r="H387" t="s">
        <v>21</v>
      </c>
      <c r="I387" t="s">
        <v>22</v>
      </c>
      <c r="J387">
        <v>1553835600</v>
      </c>
      <c r="K387">
        <v>1556600400</v>
      </c>
      <c r="L387" t="b">
        <v>0</v>
      </c>
      <c r="M387" t="b">
        <v>0</v>
      </c>
      <c r="N387" t="s">
        <v>68</v>
      </c>
      <c r="O387" s="4">
        <f t="shared" ref="O387:O450" si="18">D387/E387</f>
        <v>0.68414850771205971</v>
      </c>
      <c r="P387" t="str">
        <f t="shared" ref="P387:P450" si="19">LEFT(N387,SEARCH("/",N387) -1)</f>
        <v>publishing</v>
      </c>
      <c r="Q387" t="str">
        <f t="shared" ref="Q387:Q450" si="20">RIGHT(N387,LEN(N387)-SEARCH("/",N387))</f>
        <v>nonfiction</v>
      </c>
    </row>
    <row r="388" spans="1:17" ht="31.2" x14ac:dyDescent="0.3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t="s">
        <v>14</v>
      </c>
      <c r="G388">
        <v>1068</v>
      </c>
      <c r="H388" t="s">
        <v>21</v>
      </c>
      <c r="I388" t="s">
        <v>22</v>
      </c>
      <c r="J388">
        <v>1277528400</v>
      </c>
      <c r="K388">
        <v>1278565200</v>
      </c>
      <c r="L388" t="b">
        <v>0</v>
      </c>
      <c r="M388" t="b">
        <v>0</v>
      </c>
      <c r="N388" t="s">
        <v>33</v>
      </c>
      <c r="O388" s="4">
        <f t="shared" si="18"/>
        <v>1.3084960503698553</v>
      </c>
      <c r="P388" t="str">
        <f t="shared" si="19"/>
        <v>theater</v>
      </c>
      <c r="Q388" t="str">
        <f t="shared" si="20"/>
        <v>plays</v>
      </c>
    </row>
    <row r="389" spans="1:17" x14ac:dyDescent="0.3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t="s">
        <v>14</v>
      </c>
      <c r="G389">
        <v>424</v>
      </c>
      <c r="H389" t="s">
        <v>21</v>
      </c>
      <c r="I389" t="s">
        <v>22</v>
      </c>
      <c r="J389">
        <v>1339477200</v>
      </c>
      <c r="K389">
        <v>1339909200</v>
      </c>
      <c r="L389" t="b">
        <v>0</v>
      </c>
      <c r="M389" t="b">
        <v>0</v>
      </c>
      <c r="N389" t="s">
        <v>65</v>
      </c>
      <c r="O389" s="4">
        <f t="shared" si="18"/>
        <v>2.5470265217899288</v>
      </c>
      <c r="P389" t="str">
        <f t="shared" si="19"/>
        <v>technology</v>
      </c>
      <c r="Q389" t="str">
        <f t="shared" si="20"/>
        <v>wearables</v>
      </c>
    </row>
    <row r="390" spans="1:17" x14ac:dyDescent="0.3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t="s">
        <v>74</v>
      </c>
      <c r="G390">
        <v>145</v>
      </c>
      <c r="H390" t="s">
        <v>98</v>
      </c>
      <c r="I390" t="s">
        <v>99</v>
      </c>
      <c r="J390">
        <v>1325656800</v>
      </c>
      <c r="K390">
        <v>1325829600</v>
      </c>
      <c r="L390" t="b">
        <v>0</v>
      </c>
      <c r="M390" t="b">
        <v>0</v>
      </c>
      <c r="N390" t="s">
        <v>60</v>
      </c>
      <c r="O390" s="4">
        <f t="shared" si="18"/>
        <v>8.873087030452929</v>
      </c>
      <c r="P390" t="str">
        <f t="shared" si="19"/>
        <v>music</v>
      </c>
      <c r="Q390" t="str">
        <f t="shared" si="20"/>
        <v>indie rock</v>
      </c>
    </row>
    <row r="391" spans="1:17" x14ac:dyDescent="0.3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t="s">
        <v>20</v>
      </c>
      <c r="G391">
        <v>1152</v>
      </c>
      <c r="H391" t="s">
        <v>21</v>
      </c>
      <c r="I391" t="s">
        <v>22</v>
      </c>
      <c r="J391">
        <v>1288242000</v>
      </c>
      <c r="K391">
        <v>1290578400</v>
      </c>
      <c r="L391" t="b">
        <v>0</v>
      </c>
      <c r="M391" t="b">
        <v>0</v>
      </c>
      <c r="N391" t="s">
        <v>33</v>
      </c>
      <c r="O391" s="4">
        <f t="shared" si="18"/>
        <v>0.81892809219354334</v>
      </c>
      <c r="P391" t="str">
        <f t="shared" si="19"/>
        <v>theater</v>
      </c>
      <c r="Q391" t="str">
        <f t="shared" si="20"/>
        <v>plays</v>
      </c>
    </row>
    <row r="392" spans="1:17" x14ac:dyDescent="0.3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t="s">
        <v>20</v>
      </c>
      <c r="G392">
        <v>50</v>
      </c>
      <c r="H392" t="s">
        <v>21</v>
      </c>
      <c r="I392" t="s">
        <v>22</v>
      </c>
      <c r="J392">
        <v>1379048400</v>
      </c>
      <c r="K392">
        <v>1380344400</v>
      </c>
      <c r="L392" t="b">
        <v>0</v>
      </c>
      <c r="M392" t="b">
        <v>0</v>
      </c>
      <c r="N392" t="s">
        <v>122</v>
      </c>
      <c r="O392" s="4">
        <f t="shared" si="18"/>
        <v>0.53607326334599059</v>
      </c>
      <c r="P392" t="str">
        <f t="shared" si="19"/>
        <v>photography</v>
      </c>
      <c r="Q392" t="str">
        <f t="shared" si="20"/>
        <v>photography books</v>
      </c>
    </row>
    <row r="393" spans="1:17" x14ac:dyDescent="0.3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t="s">
        <v>14</v>
      </c>
      <c r="G393">
        <v>151</v>
      </c>
      <c r="H393" t="s">
        <v>21</v>
      </c>
      <c r="I393" t="s">
        <v>22</v>
      </c>
      <c r="J393">
        <v>1389679200</v>
      </c>
      <c r="K393">
        <v>1389852000</v>
      </c>
      <c r="L393" t="b">
        <v>0</v>
      </c>
      <c r="M393" t="b">
        <v>0</v>
      </c>
      <c r="N393" t="s">
        <v>68</v>
      </c>
      <c r="O393" s="4">
        <f t="shared" si="18"/>
        <v>13.749146369223766</v>
      </c>
      <c r="P393" t="str">
        <f t="shared" si="19"/>
        <v>publishing</v>
      </c>
      <c r="Q393" t="str">
        <f t="shared" si="20"/>
        <v>nonfiction</v>
      </c>
    </row>
    <row r="394" spans="1:17" ht="31.2" x14ac:dyDescent="0.3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t="s">
        <v>14</v>
      </c>
      <c r="G394">
        <v>1608</v>
      </c>
      <c r="H394" t="s">
        <v>21</v>
      </c>
      <c r="I394" t="s">
        <v>22</v>
      </c>
      <c r="J394">
        <v>1294293600</v>
      </c>
      <c r="K394">
        <v>1294466400</v>
      </c>
      <c r="L394" t="b">
        <v>0</v>
      </c>
      <c r="M394" t="b">
        <v>0</v>
      </c>
      <c r="N394" t="s">
        <v>65</v>
      </c>
      <c r="O394" s="4">
        <f t="shared" si="18"/>
        <v>1.5234062712817931</v>
      </c>
      <c r="P394" t="str">
        <f t="shared" si="19"/>
        <v>technology</v>
      </c>
      <c r="Q394" t="str">
        <f t="shared" si="20"/>
        <v>wearables</v>
      </c>
    </row>
    <row r="395" spans="1:17" x14ac:dyDescent="0.3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t="s">
        <v>20</v>
      </c>
      <c r="G395">
        <v>3059</v>
      </c>
      <c r="H395" t="s">
        <v>15</v>
      </c>
      <c r="I395" t="s">
        <v>16</v>
      </c>
      <c r="J395">
        <v>1500267600</v>
      </c>
      <c r="K395">
        <v>1500354000</v>
      </c>
      <c r="L395" t="b">
        <v>0</v>
      </c>
      <c r="M395" t="b">
        <v>0</v>
      </c>
      <c r="N395" t="s">
        <v>159</v>
      </c>
      <c r="O395" s="4">
        <f t="shared" si="18"/>
        <v>0.43675411021782068</v>
      </c>
      <c r="P395" t="str">
        <f t="shared" si="19"/>
        <v>music</v>
      </c>
      <c r="Q395" t="str">
        <f t="shared" si="20"/>
        <v>jazz</v>
      </c>
    </row>
    <row r="396" spans="1:17" x14ac:dyDescent="0.3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t="s">
        <v>20</v>
      </c>
      <c r="G396">
        <v>34</v>
      </c>
      <c r="H396" t="s">
        <v>21</v>
      </c>
      <c r="I396" t="s">
        <v>22</v>
      </c>
      <c r="J396">
        <v>1375074000</v>
      </c>
      <c r="K396">
        <v>1375938000</v>
      </c>
      <c r="L396" t="b">
        <v>0</v>
      </c>
      <c r="M396" t="b">
        <v>1</v>
      </c>
      <c r="N396" t="s">
        <v>42</v>
      </c>
      <c r="O396" s="4">
        <f t="shared" si="18"/>
        <v>0.21304926764314247</v>
      </c>
      <c r="P396" t="str">
        <f t="shared" si="19"/>
        <v>film &amp; video</v>
      </c>
      <c r="Q396" t="str">
        <f t="shared" si="20"/>
        <v>documentary</v>
      </c>
    </row>
    <row r="397" spans="1:17" ht="31.2" x14ac:dyDescent="0.3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t="s">
        <v>20</v>
      </c>
      <c r="G397">
        <v>220</v>
      </c>
      <c r="H397" t="s">
        <v>21</v>
      </c>
      <c r="I397" t="s">
        <v>22</v>
      </c>
      <c r="J397">
        <v>1323324000</v>
      </c>
      <c r="K397">
        <v>1323410400</v>
      </c>
      <c r="L397" t="b">
        <v>1</v>
      </c>
      <c r="M397" t="b">
        <v>0</v>
      </c>
      <c r="N397" t="s">
        <v>33</v>
      </c>
      <c r="O397" s="4">
        <f t="shared" si="18"/>
        <v>0.76856462437757089</v>
      </c>
      <c r="P397" t="str">
        <f t="shared" si="19"/>
        <v>theater</v>
      </c>
      <c r="Q397" t="str">
        <f t="shared" si="20"/>
        <v>plays</v>
      </c>
    </row>
    <row r="398" spans="1:17" x14ac:dyDescent="0.3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t="s">
        <v>20</v>
      </c>
      <c r="G398">
        <v>1604</v>
      </c>
      <c r="H398" t="s">
        <v>26</v>
      </c>
      <c r="I398" t="s">
        <v>27</v>
      </c>
      <c r="J398">
        <v>1538715600</v>
      </c>
      <c r="K398">
        <v>1539406800</v>
      </c>
      <c r="L398" t="b">
        <v>0</v>
      </c>
      <c r="M398" t="b">
        <v>0</v>
      </c>
      <c r="N398" t="s">
        <v>53</v>
      </c>
      <c r="O398" s="4">
        <f t="shared" si="18"/>
        <v>0.59860800914143253</v>
      </c>
      <c r="P398" t="str">
        <f t="shared" si="19"/>
        <v>film &amp; video</v>
      </c>
      <c r="Q398" t="str">
        <f t="shared" si="20"/>
        <v>drama</v>
      </c>
    </row>
    <row r="399" spans="1:17" x14ac:dyDescent="0.3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t="s">
        <v>20</v>
      </c>
      <c r="G399">
        <v>454</v>
      </c>
      <c r="H399" t="s">
        <v>21</v>
      </c>
      <c r="I399" t="s">
        <v>22</v>
      </c>
      <c r="J399">
        <v>1369285200</v>
      </c>
      <c r="K399">
        <v>1369803600</v>
      </c>
      <c r="L399" t="b">
        <v>0</v>
      </c>
      <c r="M399" t="b">
        <v>0</v>
      </c>
      <c r="N399" t="s">
        <v>23</v>
      </c>
      <c r="O399" s="4">
        <f t="shared" si="18"/>
        <v>0.57516154228502447</v>
      </c>
      <c r="P399" t="str">
        <f t="shared" si="19"/>
        <v>music</v>
      </c>
      <c r="Q399" t="str">
        <f t="shared" si="20"/>
        <v>rock</v>
      </c>
    </row>
    <row r="400" spans="1:17" ht="31.2" x14ac:dyDescent="0.3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t="s">
        <v>20</v>
      </c>
      <c r="G400">
        <v>123</v>
      </c>
      <c r="H400" t="s">
        <v>107</v>
      </c>
      <c r="I400" t="s">
        <v>108</v>
      </c>
      <c r="J400">
        <v>1525755600</v>
      </c>
      <c r="K400">
        <v>1525928400</v>
      </c>
      <c r="L400" t="b">
        <v>0</v>
      </c>
      <c r="M400" t="b">
        <v>1</v>
      </c>
      <c r="N400" t="s">
        <v>71</v>
      </c>
      <c r="O400" s="4">
        <f t="shared" si="18"/>
        <v>0.13932142271758727</v>
      </c>
      <c r="P400" t="str">
        <f t="shared" si="19"/>
        <v>film &amp; video</v>
      </c>
      <c r="Q400" t="str">
        <f t="shared" si="20"/>
        <v>animation</v>
      </c>
    </row>
    <row r="401" spans="1:17" x14ac:dyDescent="0.3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t="s">
        <v>14</v>
      </c>
      <c r="G401">
        <v>941</v>
      </c>
      <c r="H401" t="s">
        <v>21</v>
      </c>
      <c r="I401" t="s">
        <v>22</v>
      </c>
      <c r="J401">
        <v>1296626400</v>
      </c>
      <c r="K401">
        <v>1297231200</v>
      </c>
      <c r="L401" t="b">
        <v>0</v>
      </c>
      <c r="M401" t="b">
        <v>0</v>
      </c>
      <c r="N401" t="s">
        <v>60</v>
      </c>
      <c r="O401" s="4">
        <f t="shared" si="18"/>
        <v>1.5661467638868769</v>
      </c>
      <c r="P401" t="str">
        <f t="shared" si="19"/>
        <v>music</v>
      </c>
      <c r="Q401" t="str">
        <f t="shared" si="20"/>
        <v>indie rock</v>
      </c>
    </row>
    <row r="402" spans="1:17" ht="31.2" x14ac:dyDescent="0.3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t="s">
        <v>14</v>
      </c>
      <c r="G402">
        <v>1</v>
      </c>
      <c r="H402" t="s">
        <v>21</v>
      </c>
      <c r="I402" t="s">
        <v>22</v>
      </c>
      <c r="J402">
        <v>1376629200</v>
      </c>
      <c r="K402">
        <v>1378530000</v>
      </c>
      <c r="L402" t="b">
        <v>0</v>
      </c>
      <c r="M402" t="b">
        <v>1</v>
      </c>
      <c r="N402" t="s">
        <v>122</v>
      </c>
      <c r="O402" s="4">
        <f t="shared" si="18"/>
        <v>50</v>
      </c>
      <c r="P402" t="str">
        <f t="shared" si="19"/>
        <v>photography</v>
      </c>
      <c r="Q402" t="str">
        <f t="shared" si="20"/>
        <v>photography books</v>
      </c>
    </row>
    <row r="403" spans="1:17" x14ac:dyDescent="0.3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t="s">
        <v>20</v>
      </c>
      <c r="G403">
        <v>299</v>
      </c>
      <c r="H403" t="s">
        <v>21</v>
      </c>
      <c r="I403" t="s">
        <v>22</v>
      </c>
      <c r="J403">
        <v>1572152400</v>
      </c>
      <c r="K403">
        <v>1572152400</v>
      </c>
      <c r="L403" t="b">
        <v>0</v>
      </c>
      <c r="M403" t="b">
        <v>0</v>
      </c>
      <c r="N403" t="s">
        <v>33</v>
      </c>
      <c r="O403" s="4">
        <f t="shared" si="18"/>
        <v>6.5349985477781009E-2</v>
      </c>
      <c r="P403" t="str">
        <f t="shared" si="19"/>
        <v>theater</v>
      </c>
      <c r="Q403" t="str">
        <f t="shared" si="20"/>
        <v>plays</v>
      </c>
    </row>
    <row r="404" spans="1:17" x14ac:dyDescent="0.3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t="s">
        <v>14</v>
      </c>
      <c r="G404">
        <v>40</v>
      </c>
      <c r="H404" t="s">
        <v>21</v>
      </c>
      <c r="I404" t="s">
        <v>22</v>
      </c>
      <c r="J404">
        <v>1325829600</v>
      </c>
      <c r="K404">
        <v>1329890400</v>
      </c>
      <c r="L404" t="b">
        <v>0</v>
      </c>
      <c r="M404" t="b">
        <v>1</v>
      </c>
      <c r="N404" t="s">
        <v>100</v>
      </c>
      <c r="O404" s="4">
        <f t="shared" si="18"/>
        <v>2.4779361846571621</v>
      </c>
      <c r="P404" t="str">
        <f t="shared" si="19"/>
        <v>film &amp; video</v>
      </c>
      <c r="Q404" t="str">
        <f t="shared" si="20"/>
        <v>shorts</v>
      </c>
    </row>
    <row r="405" spans="1:17" x14ac:dyDescent="0.3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t="s">
        <v>14</v>
      </c>
      <c r="G405">
        <v>3015</v>
      </c>
      <c r="H405" t="s">
        <v>15</v>
      </c>
      <c r="I405" t="s">
        <v>16</v>
      </c>
      <c r="J405">
        <v>1273640400</v>
      </c>
      <c r="K405">
        <v>1276750800</v>
      </c>
      <c r="L405" t="b">
        <v>0</v>
      </c>
      <c r="M405" t="b">
        <v>1</v>
      </c>
      <c r="N405" t="s">
        <v>33</v>
      </c>
      <c r="O405" s="4">
        <f t="shared" si="18"/>
        <v>1.1598151877739604</v>
      </c>
      <c r="P405" t="str">
        <f t="shared" si="19"/>
        <v>theater</v>
      </c>
      <c r="Q405" t="str">
        <f t="shared" si="20"/>
        <v>plays</v>
      </c>
    </row>
    <row r="406" spans="1:17" x14ac:dyDescent="0.3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t="s">
        <v>20</v>
      </c>
      <c r="G406">
        <v>2237</v>
      </c>
      <c r="H406" t="s">
        <v>21</v>
      </c>
      <c r="I406" t="s">
        <v>22</v>
      </c>
      <c r="J406">
        <v>1510639200</v>
      </c>
      <c r="K406">
        <v>1510898400</v>
      </c>
      <c r="L406" t="b">
        <v>0</v>
      </c>
      <c r="M406" t="b">
        <v>0</v>
      </c>
      <c r="N406" t="s">
        <v>33</v>
      </c>
      <c r="O406" s="4">
        <f t="shared" si="18"/>
        <v>0.31687197465024203</v>
      </c>
      <c r="P406" t="str">
        <f t="shared" si="19"/>
        <v>theater</v>
      </c>
      <c r="Q406" t="str">
        <f t="shared" si="20"/>
        <v>plays</v>
      </c>
    </row>
    <row r="407" spans="1:17" x14ac:dyDescent="0.3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t="s">
        <v>14</v>
      </c>
      <c r="G407">
        <v>435</v>
      </c>
      <c r="H407" t="s">
        <v>21</v>
      </c>
      <c r="I407" t="s">
        <v>22</v>
      </c>
      <c r="J407">
        <v>1528088400</v>
      </c>
      <c r="K407">
        <v>1532408400</v>
      </c>
      <c r="L407" t="b">
        <v>0</v>
      </c>
      <c r="M407" t="b">
        <v>0</v>
      </c>
      <c r="N407" t="s">
        <v>33</v>
      </c>
      <c r="O407" s="4">
        <f t="shared" si="18"/>
        <v>1.1158442341764994</v>
      </c>
      <c r="P407" t="str">
        <f t="shared" si="19"/>
        <v>theater</v>
      </c>
      <c r="Q407" t="str">
        <f t="shared" si="20"/>
        <v>plays</v>
      </c>
    </row>
    <row r="408" spans="1:17" ht="31.2" x14ac:dyDescent="0.3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t="s">
        <v>20</v>
      </c>
      <c r="G408">
        <v>645</v>
      </c>
      <c r="H408" t="s">
        <v>21</v>
      </c>
      <c r="I408" t="s">
        <v>22</v>
      </c>
      <c r="J408">
        <v>1359525600</v>
      </c>
      <c r="K408">
        <v>1360562400</v>
      </c>
      <c r="L408" t="b">
        <v>1</v>
      </c>
      <c r="M408" t="b">
        <v>0</v>
      </c>
      <c r="N408" t="s">
        <v>42</v>
      </c>
      <c r="O408" s="4">
        <f t="shared" si="18"/>
        <v>0.54901303382087929</v>
      </c>
      <c r="P408" t="str">
        <f t="shared" si="19"/>
        <v>film &amp; video</v>
      </c>
      <c r="Q408" t="str">
        <f t="shared" si="20"/>
        <v>documentary</v>
      </c>
    </row>
    <row r="409" spans="1:17" x14ac:dyDescent="0.3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t="s">
        <v>20</v>
      </c>
      <c r="G409">
        <v>484</v>
      </c>
      <c r="H409" t="s">
        <v>36</v>
      </c>
      <c r="I409" t="s">
        <v>37</v>
      </c>
      <c r="J409">
        <v>1570942800</v>
      </c>
      <c r="K409">
        <v>1571547600</v>
      </c>
      <c r="L409" t="b">
        <v>0</v>
      </c>
      <c r="M409" t="b">
        <v>0</v>
      </c>
      <c r="N409" t="s">
        <v>33</v>
      </c>
      <c r="O409" s="4">
        <f t="shared" si="18"/>
        <v>0.28099173553719009</v>
      </c>
      <c r="P409" t="str">
        <f t="shared" si="19"/>
        <v>theater</v>
      </c>
      <c r="Q409" t="str">
        <f t="shared" si="20"/>
        <v>plays</v>
      </c>
    </row>
    <row r="410" spans="1:17" x14ac:dyDescent="0.3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t="s">
        <v>20</v>
      </c>
      <c r="G410">
        <v>154</v>
      </c>
      <c r="H410" t="s">
        <v>15</v>
      </c>
      <c r="I410" t="s">
        <v>16</v>
      </c>
      <c r="J410">
        <v>1466398800</v>
      </c>
      <c r="K410">
        <v>1468126800</v>
      </c>
      <c r="L410" t="b">
        <v>0</v>
      </c>
      <c r="M410" t="b">
        <v>0</v>
      </c>
      <c r="N410" t="s">
        <v>42</v>
      </c>
      <c r="O410" s="4">
        <f t="shared" si="18"/>
        <v>0.75851265561876491</v>
      </c>
      <c r="P410" t="str">
        <f t="shared" si="19"/>
        <v>film &amp; video</v>
      </c>
      <c r="Q410" t="str">
        <f t="shared" si="20"/>
        <v>documentary</v>
      </c>
    </row>
    <row r="411" spans="1:17" x14ac:dyDescent="0.3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t="s">
        <v>14</v>
      </c>
      <c r="G411">
        <v>714</v>
      </c>
      <c r="H411" t="s">
        <v>21</v>
      </c>
      <c r="I411" t="s">
        <v>22</v>
      </c>
      <c r="J411">
        <v>1492491600</v>
      </c>
      <c r="K411">
        <v>1492837200</v>
      </c>
      <c r="L411" t="b">
        <v>0</v>
      </c>
      <c r="M411" t="b">
        <v>0</v>
      </c>
      <c r="N411" t="s">
        <v>23</v>
      </c>
      <c r="O411" s="4">
        <f t="shared" si="18"/>
        <v>2.1590981466148653</v>
      </c>
      <c r="P411" t="str">
        <f t="shared" si="19"/>
        <v>music</v>
      </c>
      <c r="Q411" t="str">
        <f t="shared" si="20"/>
        <v>rock</v>
      </c>
    </row>
    <row r="412" spans="1:17" x14ac:dyDescent="0.3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t="s">
        <v>47</v>
      </c>
      <c r="G412">
        <v>1111</v>
      </c>
      <c r="H412" t="s">
        <v>21</v>
      </c>
      <c r="I412" t="s">
        <v>22</v>
      </c>
      <c r="J412">
        <v>1430197200</v>
      </c>
      <c r="K412">
        <v>1430197200</v>
      </c>
      <c r="L412" t="b">
        <v>0</v>
      </c>
      <c r="M412" t="b">
        <v>0</v>
      </c>
      <c r="N412" t="s">
        <v>292</v>
      </c>
      <c r="O412" s="4">
        <f t="shared" si="18"/>
        <v>2.7675741861135119</v>
      </c>
      <c r="P412" t="str">
        <f t="shared" si="19"/>
        <v>games</v>
      </c>
      <c r="Q412" t="str">
        <f t="shared" si="20"/>
        <v>mobile games</v>
      </c>
    </row>
    <row r="413" spans="1:17" x14ac:dyDescent="0.3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t="s">
        <v>20</v>
      </c>
      <c r="G413">
        <v>82</v>
      </c>
      <c r="H413" t="s">
        <v>21</v>
      </c>
      <c r="I413" t="s">
        <v>22</v>
      </c>
      <c r="J413">
        <v>1496034000</v>
      </c>
      <c r="K413">
        <v>1496206800</v>
      </c>
      <c r="L413" t="b">
        <v>0</v>
      </c>
      <c r="M413" t="b">
        <v>0</v>
      </c>
      <c r="N413" t="s">
        <v>33</v>
      </c>
      <c r="O413" s="4">
        <f t="shared" si="18"/>
        <v>0.9557652248498959</v>
      </c>
      <c r="P413" t="str">
        <f t="shared" si="19"/>
        <v>theater</v>
      </c>
      <c r="Q413" t="str">
        <f t="shared" si="20"/>
        <v>plays</v>
      </c>
    </row>
    <row r="414" spans="1:17" x14ac:dyDescent="0.3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t="s">
        <v>20</v>
      </c>
      <c r="G414">
        <v>134</v>
      </c>
      <c r="H414" t="s">
        <v>21</v>
      </c>
      <c r="I414" t="s">
        <v>22</v>
      </c>
      <c r="J414">
        <v>1388728800</v>
      </c>
      <c r="K414">
        <v>1389592800</v>
      </c>
      <c r="L414" t="b">
        <v>0</v>
      </c>
      <c r="M414" t="b">
        <v>0</v>
      </c>
      <c r="N414" t="s">
        <v>119</v>
      </c>
      <c r="O414" s="4">
        <f t="shared" si="18"/>
        <v>0.149508756941478</v>
      </c>
      <c r="P414" t="str">
        <f t="shared" si="19"/>
        <v>publishing</v>
      </c>
      <c r="Q414" t="str">
        <f t="shared" si="20"/>
        <v>fiction</v>
      </c>
    </row>
    <row r="415" spans="1:17" x14ac:dyDescent="0.3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t="s">
        <v>47</v>
      </c>
      <c r="G415">
        <v>1089</v>
      </c>
      <c r="H415" t="s">
        <v>21</v>
      </c>
      <c r="I415" t="s">
        <v>22</v>
      </c>
      <c r="J415">
        <v>1543298400</v>
      </c>
      <c r="K415">
        <v>1545631200</v>
      </c>
      <c r="L415" t="b">
        <v>0</v>
      </c>
      <c r="M415" t="b">
        <v>0</v>
      </c>
      <c r="N415" t="s">
        <v>71</v>
      </c>
      <c r="O415" s="4">
        <f t="shared" si="18"/>
        <v>1.6110109837793722</v>
      </c>
      <c r="P415" t="str">
        <f t="shared" si="19"/>
        <v>film &amp; video</v>
      </c>
      <c r="Q415" t="str">
        <f t="shared" si="20"/>
        <v>animation</v>
      </c>
    </row>
    <row r="416" spans="1:17" x14ac:dyDescent="0.3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t="s">
        <v>14</v>
      </c>
      <c r="G416">
        <v>5497</v>
      </c>
      <c r="H416" t="s">
        <v>21</v>
      </c>
      <c r="I416" t="s">
        <v>22</v>
      </c>
      <c r="J416">
        <v>1271739600</v>
      </c>
      <c r="K416">
        <v>1272430800</v>
      </c>
      <c r="L416" t="b">
        <v>0</v>
      </c>
      <c r="M416" t="b">
        <v>1</v>
      </c>
      <c r="N416" t="s">
        <v>17</v>
      </c>
      <c r="O416" s="4">
        <f t="shared" si="18"/>
        <v>1.1806405068849786</v>
      </c>
      <c r="P416" t="str">
        <f t="shared" si="19"/>
        <v>food</v>
      </c>
      <c r="Q416" t="str">
        <f t="shared" si="20"/>
        <v>food trucks</v>
      </c>
    </row>
    <row r="417" spans="1:17" x14ac:dyDescent="0.3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t="s">
        <v>14</v>
      </c>
      <c r="G417">
        <v>418</v>
      </c>
      <c r="H417" t="s">
        <v>21</v>
      </c>
      <c r="I417" t="s">
        <v>22</v>
      </c>
      <c r="J417">
        <v>1326434400</v>
      </c>
      <c r="K417">
        <v>1327903200</v>
      </c>
      <c r="L417" t="b">
        <v>0</v>
      </c>
      <c r="M417" t="b">
        <v>0</v>
      </c>
      <c r="N417" t="s">
        <v>33</v>
      </c>
      <c r="O417" s="4">
        <f t="shared" si="18"/>
        <v>9.0423836838750802</v>
      </c>
      <c r="P417" t="str">
        <f t="shared" si="19"/>
        <v>theater</v>
      </c>
      <c r="Q417" t="str">
        <f t="shared" si="20"/>
        <v>plays</v>
      </c>
    </row>
    <row r="418" spans="1:17" ht="31.2" x14ac:dyDescent="0.3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t="s">
        <v>14</v>
      </c>
      <c r="G418">
        <v>1439</v>
      </c>
      <c r="H418" t="s">
        <v>21</v>
      </c>
      <c r="I418" t="s">
        <v>22</v>
      </c>
      <c r="J418">
        <v>1295244000</v>
      </c>
      <c r="K418">
        <v>1296021600</v>
      </c>
      <c r="L418" t="b">
        <v>0</v>
      </c>
      <c r="M418" t="b">
        <v>1</v>
      </c>
      <c r="N418" t="s">
        <v>42</v>
      </c>
      <c r="O418" s="4">
        <f t="shared" si="18"/>
        <v>2.281085294965004</v>
      </c>
      <c r="P418" t="str">
        <f t="shared" si="19"/>
        <v>film &amp; video</v>
      </c>
      <c r="Q418" t="str">
        <f t="shared" si="20"/>
        <v>documentary</v>
      </c>
    </row>
    <row r="419" spans="1:17" x14ac:dyDescent="0.3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t="s">
        <v>14</v>
      </c>
      <c r="G419">
        <v>15</v>
      </c>
      <c r="H419" t="s">
        <v>21</v>
      </c>
      <c r="I419" t="s">
        <v>22</v>
      </c>
      <c r="J419">
        <v>1541221200</v>
      </c>
      <c r="K419">
        <v>1543298400</v>
      </c>
      <c r="L419" t="b">
        <v>0</v>
      </c>
      <c r="M419" t="b">
        <v>0</v>
      </c>
      <c r="N419" t="s">
        <v>33</v>
      </c>
      <c r="O419" s="4">
        <f t="shared" si="18"/>
        <v>1.8027571580063626</v>
      </c>
      <c r="P419" t="str">
        <f t="shared" si="19"/>
        <v>theater</v>
      </c>
      <c r="Q419" t="str">
        <f t="shared" si="20"/>
        <v>plays</v>
      </c>
    </row>
    <row r="420" spans="1:17" x14ac:dyDescent="0.3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t="s">
        <v>14</v>
      </c>
      <c r="G420">
        <v>1999</v>
      </c>
      <c r="H420" t="s">
        <v>15</v>
      </c>
      <c r="I420" t="s">
        <v>16</v>
      </c>
      <c r="J420">
        <v>1336280400</v>
      </c>
      <c r="K420">
        <v>1336366800</v>
      </c>
      <c r="L420" t="b">
        <v>0</v>
      </c>
      <c r="M420" t="b">
        <v>0</v>
      </c>
      <c r="N420" t="s">
        <v>42</v>
      </c>
      <c r="O420" s="4">
        <f t="shared" si="18"/>
        <v>1.7421751114800506</v>
      </c>
      <c r="P420" t="str">
        <f t="shared" si="19"/>
        <v>film &amp; video</v>
      </c>
      <c r="Q420" t="str">
        <f t="shared" si="20"/>
        <v>documentary</v>
      </c>
    </row>
    <row r="421" spans="1:17" x14ac:dyDescent="0.3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t="s">
        <v>20</v>
      </c>
      <c r="G421">
        <v>5203</v>
      </c>
      <c r="H421" t="s">
        <v>21</v>
      </c>
      <c r="I421" t="s">
        <v>22</v>
      </c>
      <c r="J421">
        <v>1324533600</v>
      </c>
      <c r="K421">
        <v>1325052000</v>
      </c>
      <c r="L421" t="b">
        <v>0</v>
      </c>
      <c r="M421" t="b">
        <v>0</v>
      </c>
      <c r="N421" t="s">
        <v>28</v>
      </c>
      <c r="O421" s="4">
        <f t="shared" si="18"/>
        <v>0.81014316326022107</v>
      </c>
      <c r="P421" t="str">
        <f t="shared" si="19"/>
        <v>technology</v>
      </c>
      <c r="Q421" t="str">
        <f t="shared" si="20"/>
        <v>web</v>
      </c>
    </row>
    <row r="422" spans="1:17" x14ac:dyDescent="0.3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t="s">
        <v>20</v>
      </c>
      <c r="G422">
        <v>94</v>
      </c>
      <c r="H422" t="s">
        <v>21</v>
      </c>
      <c r="I422" t="s">
        <v>22</v>
      </c>
      <c r="J422">
        <v>1498366800</v>
      </c>
      <c r="K422">
        <v>1499576400</v>
      </c>
      <c r="L422" t="b">
        <v>0</v>
      </c>
      <c r="M422" t="b">
        <v>0</v>
      </c>
      <c r="N422" t="s">
        <v>33</v>
      </c>
      <c r="O422" s="4">
        <f t="shared" si="18"/>
        <v>0.77845243655612639</v>
      </c>
      <c r="P422" t="str">
        <f t="shared" si="19"/>
        <v>theater</v>
      </c>
      <c r="Q422" t="str">
        <f t="shared" si="20"/>
        <v>plays</v>
      </c>
    </row>
    <row r="423" spans="1:17" x14ac:dyDescent="0.3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t="s">
        <v>14</v>
      </c>
      <c r="G423">
        <v>118</v>
      </c>
      <c r="H423" t="s">
        <v>21</v>
      </c>
      <c r="I423" t="s">
        <v>22</v>
      </c>
      <c r="J423">
        <v>1498712400</v>
      </c>
      <c r="K423">
        <v>1501304400</v>
      </c>
      <c r="L423" t="b">
        <v>0</v>
      </c>
      <c r="M423" t="b">
        <v>1</v>
      </c>
      <c r="N423" t="s">
        <v>65</v>
      </c>
      <c r="O423" s="4">
        <f t="shared" si="18"/>
        <v>1.5627597672485454</v>
      </c>
      <c r="P423" t="str">
        <f t="shared" si="19"/>
        <v>technology</v>
      </c>
      <c r="Q423" t="str">
        <f t="shared" si="20"/>
        <v>wearables</v>
      </c>
    </row>
    <row r="424" spans="1:17" ht="31.2" x14ac:dyDescent="0.3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t="s">
        <v>20</v>
      </c>
      <c r="G424">
        <v>205</v>
      </c>
      <c r="H424" t="s">
        <v>21</v>
      </c>
      <c r="I424" t="s">
        <v>22</v>
      </c>
      <c r="J424">
        <v>1271480400</v>
      </c>
      <c r="K424">
        <v>1273208400</v>
      </c>
      <c r="L424" t="b">
        <v>0</v>
      </c>
      <c r="M424" t="b">
        <v>1</v>
      </c>
      <c r="N424" t="s">
        <v>33</v>
      </c>
      <c r="O424" s="4">
        <f t="shared" si="18"/>
        <v>0.78555304740406318</v>
      </c>
      <c r="P424" t="str">
        <f t="shared" si="19"/>
        <v>theater</v>
      </c>
      <c r="Q424" t="str">
        <f t="shared" si="20"/>
        <v>plays</v>
      </c>
    </row>
    <row r="425" spans="1:17" x14ac:dyDescent="0.3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t="s">
        <v>14</v>
      </c>
      <c r="G425">
        <v>162</v>
      </c>
      <c r="H425" t="s">
        <v>21</v>
      </c>
      <c r="I425" t="s">
        <v>22</v>
      </c>
      <c r="J425">
        <v>1316667600</v>
      </c>
      <c r="K425">
        <v>1316840400</v>
      </c>
      <c r="L425" t="b">
        <v>0</v>
      </c>
      <c r="M425" t="b">
        <v>1</v>
      </c>
      <c r="N425" t="s">
        <v>17</v>
      </c>
      <c r="O425" s="4">
        <f t="shared" si="18"/>
        <v>9.4002416841569669</v>
      </c>
      <c r="P425" t="str">
        <f t="shared" si="19"/>
        <v>food</v>
      </c>
      <c r="Q425" t="str">
        <f t="shared" si="20"/>
        <v>food trucks</v>
      </c>
    </row>
    <row r="426" spans="1:17" x14ac:dyDescent="0.3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t="s">
        <v>14</v>
      </c>
      <c r="G426">
        <v>83</v>
      </c>
      <c r="H426" t="s">
        <v>21</v>
      </c>
      <c r="I426" t="s">
        <v>22</v>
      </c>
      <c r="J426">
        <v>1524027600</v>
      </c>
      <c r="K426">
        <v>1524546000</v>
      </c>
      <c r="L426" t="b">
        <v>0</v>
      </c>
      <c r="M426" t="b">
        <v>0</v>
      </c>
      <c r="N426" t="s">
        <v>60</v>
      </c>
      <c r="O426" s="4">
        <f t="shared" si="18"/>
        <v>2.4709302325581395</v>
      </c>
      <c r="P426" t="str">
        <f t="shared" si="19"/>
        <v>music</v>
      </c>
      <c r="Q426" t="str">
        <f t="shared" si="20"/>
        <v>indie rock</v>
      </c>
    </row>
    <row r="427" spans="1:17" x14ac:dyDescent="0.3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t="s">
        <v>20</v>
      </c>
      <c r="G427">
        <v>92</v>
      </c>
      <c r="H427" t="s">
        <v>21</v>
      </c>
      <c r="I427" t="s">
        <v>22</v>
      </c>
      <c r="J427">
        <v>1438059600</v>
      </c>
      <c r="K427">
        <v>1438578000</v>
      </c>
      <c r="L427" t="b">
        <v>0</v>
      </c>
      <c r="M427" t="b">
        <v>0</v>
      </c>
      <c r="N427" t="s">
        <v>122</v>
      </c>
      <c r="O427" s="4">
        <f t="shared" si="18"/>
        <v>0.34762456546929316</v>
      </c>
      <c r="P427" t="str">
        <f t="shared" si="19"/>
        <v>photography</v>
      </c>
      <c r="Q427" t="str">
        <f t="shared" si="20"/>
        <v>photography books</v>
      </c>
    </row>
    <row r="428" spans="1:17" x14ac:dyDescent="0.3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t="s">
        <v>20</v>
      </c>
      <c r="G428">
        <v>219</v>
      </c>
      <c r="H428" t="s">
        <v>21</v>
      </c>
      <c r="I428" t="s">
        <v>22</v>
      </c>
      <c r="J428">
        <v>1361944800</v>
      </c>
      <c r="K428">
        <v>1362549600</v>
      </c>
      <c r="L428" t="b">
        <v>0</v>
      </c>
      <c r="M428" t="b">
        <v>0</v>
      </c>
      <c r="N428" t="s">
        <v>33</v>
      </c>
      <c r="O428" s="4">
        <f t="shared" si="18"/>
        <v>0.17453699214583535</v>
      </c>
      <c r="P428" t="str">
        <f t="shared" si="19"/>
        <v>theater</v>
      </c>
      <c r="Q428" t="str">
        <f t="shared" si="20"/>
        <v>plays</v>
      </c>
    </row>
    <row r="429" spans="1:17" x14ac:dyDescent="0.3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t="s">
        <v>20</v>
      </c>
      <c r="G429">
        <v>2526</v>
      </c>
      <c r="H429" t="s">
        <v>21</v>
      </c>
      <c r="I429" t="s">
        <v>22</v>
      </c>
      <c r="J429">
        <v>1410584400</v>
      </c>
      <c r="K429">
        <v>1413349200</v>
      </c>
      <c r="L429" t="b">
        <v>0</v>
      </c>
      <c r="M429" t="b">
        <v>1</v>
      </c>
      <c r="N429" t="s">
        <v>33</v>
      </c>
      <c r="O429" s="4">
        <f t="shared" si="18"/>
        <v>0.88570587459013894</v>
      </c>
      <c r="P429" t="str">
        <f t="shared" si="19"/>
        <v>theater</v>
      </c>
      <c r="Q429" t="str">
        <f t="shared" si="20"/>
        <v>plays</v>
      </c>
    </row>
    <row r="430" spans="1:17" x14ac:dyDescent="0.3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t="s">
        <v>14</v>
      </c>
      <c r="G430">
        <v>747</v>
      </c>
      <c r="H430" t="s">
        <v>21</v>
      </c>
      <c r="I430" t="s">
        <v>22</v>
      </c>
      <c r="J430">
        <v>1297404000</v>
      </c>
      <c r="K430">
        <v>1298008800</v>
      </c>
      <c r="L430" t="b">
        <v>0</v>
      </c>
      <c r="M430" t="b">
        <v>0</v>
      </c>
      <c r="N430" t="s">
        <v>71</v>
      </c>
      <c r="O430" s="4">
        <f t="shared" si="18"/>
        <v>2.1557497289367946</v>
      </c>
      <c r="P430" t="str">
        <f t="shared" si="19"/>
        <v>film &amp; video</v>
      </c>
      <c r="Q430" t="str">
        <f t="shared" si="20"/>
        <v>animation</v>
      </c>
    </row>
    <row r="431" spans="1:17" x14ac:dyDescent="0.3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t="s">
        <v>74</v>
      </c>
      <c r="G431">
        <v>2138</v>
      </c>
      <c r="H431" t="s">
        <v>21</v>
      </c>
      <c r="I431" t="s">
        <v>22</v>
      </c>
      <c r="J431">
        <v>1392012000</v>
      </c>
      <c r="K431">
        <v>1394427600</v>
      </c>
      <c r="L431" t="b">
        <v>0</v>
      </c>
      <c r="M431" t="b">
        <v>1</v>
      </c>
      <c r="N431" t="s">
        <v>122</v>
      </c>
      <c r="O431" s="4">
        <f t="shared" si="18"/>
        <v>1.1028286689262143</v>
      </c>
      <c r="P431" t="str">
        <f t="shared" si="19"/>
        <v>photography</v>
      </c>
      <c r="Q431" t="str">
        <f t="shared" si="20"/>
        <v>photography books</v>
      </c>
    </row>
    <row r="432" spans="1:17" ht="31.2" x14ac:dyDescent="0.3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t="s">
        <v>14</v>
      </c>
      <c r="G432">
        <v>84</v>
      </c>
      <c r="H432" t="s">
        <v>21</v>
      </c>
      <c r="I432" t="s">
        <v>22</v>
      </c>
      <c r="J432">
        <v>1569733200</v>
      </c>
      <c r="K432">
        <v>1572670800</v>
      </c>
      <c r="L432" t="b">
        <v>0</v>
      </c>
      <c r="M432" t="b">
        <v>0</v>
      </c>
      <c r="N432" t="s">
        <v>33</v>
      </c>
      <c r="O432" s="4">
        <f t="shared" si="18"/>
        <v>1.4762165117550574</v>
      </c>
      <c r="P432" t="str">
        <f t="shared" si="19"/>
        <v>theater</v>
      </c>
      <c r="Q432" t="str">
        <f t="shared" si="20"/>
        <v>plays</v>
      </c>
    </row>
    <row r="433" spans="1:17" x14ac:dyDescent="0.3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t="s">
        <v>20</v>
      </c>
      <c r="G433">
        <v>94</v>
      </c>
      <c r="H433" t="s">
        <v>21</v>
      </c>
      <c r="I433" t="s">
        <v>22</v>
      </c>
      <c r="J433">
        <v>1529643600</v>
      </c>
      <c r="K433">
        <v>1531112400</v>
      </c>
      <c r="L433" t="b">
        <v>1</v>
      </c>
      <c r="M433" t="b">
        <v>0</v>
      </c>
      <c r="N433" t="s">
        <v>33</v>
      </c>
      <c r="O433" s="4">
        <f t="shared" si="18"/>
        <v>0.51950697769175924</v>
      </c>
      <c r="P433" t="str">
        <f t="shared" si="19"/>
        <v>theater</v>
      </c>
      <c r="Q433" t="str">
        <f t="shared" si="20"/>
        <v>plays</v>
      </c>
    </row>
    <row r="434" spans="1:17" ht="31.2" x14ac:dyDescent="0.3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t="s">
        <v>14</v>
      </c>
      <c r="G434">
        <v>91</v>
      </c>
      <c r="H434" t="s">
        <v>21</v>
      </c>
      <c r="I434" t="s">
        <v>22</v>
      </c>
      <c r="J434">
        <v>1399006800</v>
      </c>
      <c r="K434">
        <v>1400734800</v>
      </c>
      <c r="L434" t="b">
        <v>0</v>
      </c>
      <c r="M434" t="b">
        <v>0</v>
      </c>
      <c r="N434" t="s">
        <v>33</v>
      </c>
      <c r="O434" s="4">
        <f t="shared" si="18"/>
        <v>1.2089810017271156</v>
      </c>
      <c r="P434" t="str">
        <f t="shared" si="19"/>
        <v>theater</v>
      </c>
      <c r="Q434" t="str">
        <f t="shared" si="20"/>
        <v>plays</v>
      </c>
    </row>
    <row r="435" spans="1:17" x14ac:dyDescent="0.3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t="s">
        <v>14</v>
      </c>
      <c r="G435">
        <v>792</v>
      </c>
      <c r="H435" t="s">
        <v>21</v>
      </c>
      <c r="I435" t="s">
        <v>22</v>
      </c>
      <c r="J435">
        <v>1385359200</v>
      </c>
      <c r="K435">
        <v>1386741600</v>
      </c>
      <c r="L435" t="b">
        <v>0</v>
      </c>
      <c r="M435" t="b">
        <v>1</v>
      </c>
      <c r="N435" t="s">
        <v>42</v>
      </c>
      <c r="O435" s="4">
        <f t="shared" si="18"/>
        <v>1.8462474336552352</v>
      </c>
      <c r="P435" t="str">
        <f t="shared" si="19"/>
        <v>film &amp; video</v>
      </c>
      <c r="Q435" t="str">
        <f t="shared" si="20"/>
        <v>documentary</v>
      </c>
    </row>
    <row r="436" spans="1:17" x14ac:dyDescent="0.3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t="s">
        <v>74</v>
      </c>
      <c r="G436">
        <v>10</v>
      </c>
      <c r="H436" t="s">
        <v>15</v>
      </c>
      <c r="I436" t="s">
        <v>16</v>
      </c>
      <c r="J436">
        <v>1480572000</v>
      </c>
      <c r="K436">
        <v>1481781600</v>
      </c>
      <c r="L436" t="b">
        <v>1</v>
      </c>
      <c r="M436" t="b">
        <v>0</v>
      </c>
      <c r="N436" t="s">
        <v>33</v>
      </c>
      <c r="O436" s="4">
        <f t="shared" si="18"/>
        <v>5.9800664451827243</v>
      </c>
      <c r="P436" t="str">
        <f t="shared" si="19"/>
        <v>theater</v>
      </c>
      <c r="Q436" t="str">
        <f t="shared" si="20"/>
        <v>plays</v>
      </c>
    </row>
    <row r="437" spans="1:17" x14ac:dyDescent="0.3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t="s">
        <v>20</v>
      </c>
      <c r="G437">
        <v>1713</v>
      </c>
      <c r="H437" t="s">
        <v>107</v>
      </c>
      <c r="I437" t="s">
        <v>108</v>
      </c>
      <c r="J437">
        <v>1418623200</v>
      </c>
      <c r="K437">
        <v>1419660000</v>
      </c>
      <c r="L437" t="b">
        <v>0</v>
      </c>
      <c r="M437" t="b">
        <v>1</v>
      </c>
      <c r="N437" t="s">
        <v>33</v>
      </c>
      <c r="O437" s="4">
        <f t="shared" si="18"/>
        <v>0.85560296429373461</v>
      </c>
      <c r="P437" t="str">
        <f t="shared" si="19"/>
        <v>theater</v>
      </c>
      <c r="Q437" t="str">
        <f t="shared" si="20"/>
        <v>plays</v>
      </c>
    </row>
    <row r="438" spans="1:17" x14ac:dyDescent="0.3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t="s">
        <v>20</v>
      </c>
      <c r="G438">
        <v>249</v>
      </c>
      <c r="H438" t="s">
        <v>21</v>
      </c>
      <c r="I438" t="s">
        <v>22</v>
      </c>
      <c r="J438">
        <v>1555736400</v>
      </c>
      <c r="K438">
        <v>1555822800</v>
      </c>
      <c r="L438" t="b">
        <v>0</v>
      </c>
      <c r="M438" t="b">
        <v>0</v>
      </c>
      <c r="N438" t="s">
        <v>159</v>
      </c>
      <c r="O438" s="4">
        <f t="shared" si="18"/>
        <v>9.5043134961251649E-2</v>
      </c>
      <c r="P438" t="str">
        <f t="shared" si="19"/>
        <v>music</v>
      </c>
      <c r="Q438" t="str">
        <f t="shared" si="20"/>
        <v>jazz</v>
      </c>
    </row>
    <row r="439" spans="1:17" x14ac:dyDescent="0.3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t="s">
        <v>20</v>
      </c>
      <c r="G439">
        <v>192</v>
      </c>
      <c r="H439" t="s">
        <v>21</v>
      </c>
      <c r="I439" t="s">
        <v>22</v>
      </c>
      <c r="J439">
        <v>1442120400</v>
      </c>
      <c r="K439">
        <v>1442379600</v>
      </c>
      <c r="L439" t="b">
        <v>0</v>
      </c>
      <c r="M439" t="b">
        <v>1</v>
      </c>
      <c r="N439" t="s">
        <v>71</v>
      </c>
      <c r="O439" s="4">
        <f t="shared" si="18"/>
        <v>0.81251880830574785</v>
      </c>
      <c r="P439" t="str">
        <f t="shared" si="19"/>
        <v>film &amp; video</v>
      </c>
      <c r="Q439" t="str">
        <f t="shared" si="20"/>
        <v>animation</v>
      </c>
    </row>
    <row r="440" spans="1:17" ht="31.2" x14ac:dyDescent="0.3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t="s">
        <v>20</v>
      </c>
      <c r="G440">
        <v>247</v>
      </c>
      <c r="H440" t="s">
        <v>21</v>
      </c>
      <c r="I440" t="s">
        <v>22</v>
      </c>
      <c r="J440">
        <v>1362376800</v>
      </c>
      <c r="K440">
        <v>1364965200</v>
      </c>
      <c r="L440" t="b">
        <v>0</v>
      </c>
      <c r="M440" t="b">
        <v>0</v>
      </c>
      <c r="N440" t="s">
        <v>33</v>
      </c>
      <c r="O440" s="4">
        <f t="shared" si="18"/>
        <v>0.55978957307614485</v>
      </c>
      <c r="P440" t="str">
        <f t="shared" si="19"/>
        <v>theater</v>
      </c>
      <c r="Q440" t="str">
        <f t="shared" si="20"/>
        <v>plays</v>
      </c>
    </row>
    <row r="441" spans="1:17" x14ac:dyDescent="0.3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t="s">
        <v>20</v>
      </c>
      <c r="G441">
        <v>2293</v>
      </c>
      <c r="H441" t="s">
        <v>21</v>
      </c>
      <c r="I441" t="s">
        <v>22</v>
      </c>
      <c r="J441">
        <v>1478408400</v>
      </c>
      <c r="K441">
        <v>1479016800</v>
      </c>
      <c r="L441" t="b">
        <v>0</v>
      </c>
      <c r="M441" t="b">
        <v>0</v>
      </c>
      <c r="N441" t="s">
        <v>474</v>
      </c>
      <c r="O441" s="4">
        <f t="shared" si="18"/>
        <v>0.28146679881070369</v>
      </c>
      <c r="P441" t="str">
        <f t="shared" si="19"/>
        <v>film &amp; video</v>
      </c>
      <c r="Q441" t="str">
        <f t="shared" si="20"/>
        <v>science fiction</v>
      </c>
    </row>
    <row r="442" spans="1:17" x14ac:dyDescent="0.3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t="s">
        <v>20</v>
      </c>
      <c r="G442">
        <v>3131</v>
      </c>
      <c r="H442" t="s">
        <v>21</v>
      </c>
      <c r="I442" t="s">
        <v>22</v>
      </c>
      <c r="J442">
        <v>1498798800</v>
      </c>
      <c r="K442">
        <v>1499662800</v>
      </c>
      <c r="L442" t="b">
        <v>0</v>
      </c>
      <c r="M442" t="b">
        <v>0</v>
      </c>
      <c r="N442" t="s">
        <v>269</v>
      </c>
      <c r="O442" s="4">
        <f t="shared" si="18"/>
        <v>0.61764103305735329</v>
      </c>
      <c r="P442" t="str">
        <f t="shared" si="19"/>
        <v>film &amp; video</v>
      </c>
      <c r="Q442" t="str">
        <f t="shared" si="20"/>
        <v>television</v>
      </c>
    </row>
    <row r="443" spans="1:17" x14ac:dyDescent="0.3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t="s">
        <v>14</v>
      </c>
      <c r="G443">
        <v>32</v>
      </c>
      <c r="H443" t="s">
        <v>21</v>
      </c>
      <c r="I443" t="s">
        <v>22</v>
      </c>
      <c r="J443">
        <v>1335416400</v>
      </c>
      <c r="K443">
        <v>1337835600</v>
      </c>
      <c r="L443" t="b">
        <v>0</v>
      </c>
      <c r="M443" t="b">
        <v>0</v>
      </c>
      <c r="N443" t="s">
        <v>65</v>
      </c>
      <c r="O443" s="4">
        <f t="shared" si="18"/>
        <v>4.0137614678899078</v>
      </c>
      <c r="P443" t="str">
        <f t="shared" si="19"/>
        <v>technology</v>
      </c>
      <c r="Q443" t="str">
        <f t="shared" si="20"/>
        <v>wearables</v>
      </c>
    </row>
    <row r="444" spans="1:17" x14ac:dyDescent="0.3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t="s">
        <v>20</v>
      </c>
      <c r="G444">
        <v>143</v>
      </c>
      <c r="H444" t="s">
        <v>107</v>
      </c>
      <c r="I444" t="s">
        <v>108</v>
      </c>
      <c r="J444">
        <v>1504328400</v>
      </c>
      <c r="K444">
        <v>1505710800</v>
      </c>
      <c r="L444" t="b">
        <v>0</v>
      </c>
      <c r="M444" t="b">
        <v>0</v>
      </c>
      <c r="N444" t="s">
        <v>33</v>
      </c>
      <c r="O444" s="4">
        <f t="shared" si="18"/>
        <v>0.50321498462398662</v>
      </c>
      <c r="P444" t="str">
        <f t="shared" si="19"/>
        <v>theater</v>
      </c>
      <c r="Q444" t="str">
        <f t="shared" si="20"/>
        <v>plays</v>
      </c>
    </row>
    <row r="445" spans="1:17" x14ac:dyDescent="0.3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t="s">
        <v>74</v>
      </c>
      <c r="G445">
        <v>90</v>
      </c>
      <c r="H445" t="s">
        <v>21</v>
      </c>
      <c r="I445" t="s">
        <v>22</v>
      </c>
      <c r="J445">
        <v>1285822800</v>
      </c>
      <c r="K445">
        <v>1287464400</v>
      </c>
      <c r="L445" t="b">
        <v>0</v>
      </c>
      <c r="M445" t="b">
        <v>0</v>
      </c>
      <c r="N445" t="s">
        <v>33</v>
      </c>
      <c r="O445" s="4">
        <f t="shared" si="18"/>
        <v>2.8774752475247523</v>
      </c>
      <c r="P445" t="str">
        <f t="shared" si="19"/>
        <v>theater</v>
      </c>
      <c r="Q445" t="str">
        <f t="shared" si="20"/>
        <v>plays</v>
      </c>
    </row>
    <row r="446" spans="1:17" x14ac:dyDescent="0.3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t="s">
        <v>20</v>
      </c>
      <c r="G446">
        <v>296</v>
      </c>
      <c r="H446" t="s">
        <v>21</v>
      </c>
      <c r="I446" t="s">
        <v>22</v>
      </c>
      <c r="J446">
        <v>1311483600</v>
      </c>
      <c r="K446">
        <v>1311656400</v>
      </c>
      <c r="L446" t="b">
        <v>0</v>
      </c>
      <c r="M446" t="b">
        <v>1</v>
      </c>
      <c r="N446" t="s">
        <v>60</v>
      </c>
      <c r="O446" s="4">
        <f t="shared" si="18"/>
        <v>0.56683123057231666</v>
      </c>
      <c r="P446" t="str">
        <f t="shared" si="19"/>
        <v>music</v>
      </c>
      <c r="Q446" t="str">
        <f t="shared" si="20"/>
        <v>indie rock</v>
      </c>
    </row>
    <row r="447" spans="1:17" ht="31.2" x14ac:dyDescent="0.3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t="s">
        <v>20</v>
      </c>
      <c r="G447">
        <v>170</v>
      </c>
      <c r="H447" t="s">
        <v>21</v>
      </c>
      <c r="I447" t="s">
        <v>22</v>
      </c>
      <c r="J447">
        <v>1291356000</v>
      </c>
      <c r="K447">
        <v>1293170400</v>
      </c>
      <c r="L447" t="b">
        <v>0</v>
      </c>
      <c r="M447" t="b">
        <v>1</v>
      </c>
      <c r="N447" t="s">
        <v>33</v>
      </c>
      <c r="O447" s="4">
        <f t="shared" si="18"/>
        <v>0.19554893379271812</v>
      </c>
      <c r="P447" t="str">
        <f t="shared" si="19"/>
        <v>theater</v>
      </c>
      <c r="Q447" t="str">
        <f t="shared" si="20"/>
        <v>plays</v>
      </c>
    </row>
    <row r="448" spans="1:17" x14ac:dyDescent="0.3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t="s">
        <v>14</v>
      </c>
      <c r="G448">
        <v>186</v>
      </c>
      <c r="H448" t="s">
        <v>21</v>
      </c>
      <c r="I448" t="s">
        <v>22</v>
      </c>
      <c r="J448">
        <v>1355810400</v>
      </c>
      <c r="K448">
        <v>1355983200</v>
      </c>
      <c r="L448" t="b">
        <v>0</v>
      </c>
      <c r="M448" t="b">
        <v>0</v>
      </c>
      <c r="N448" t="s">
        <v>65</v>
      </c>
      <c r="O448" s="4">
        <f t="shared" si="18"/>
        <v>1.2188564258827748</v>
      </c>
      <c r="P448" t="str">
        <f t="shared" si="19"/>
        <v>technology</v>
      </c>
      <c r="Q448" t="str">
        <f t="shared" si="20"/>
        <v>wearables</v>
      </c>
    </row>
    <row r="449" spans="1:17" ht="31.2" x14ac:dyDescent="0.3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t="s">
        <v>74</v>
      </c>
      <c r="G449">
        <v>439</v>
      </c>
      <c r="H449" t="s">
        <v>40</v>
      </c>
      <c r="I449" t="s">
        <v>41</v>
      </c>
      <c r="J449">
        <v>1513663200</v>
      </c>
      <c r="K449">
        <v>1515045600</v>
      </c>
      <c r="L449" t="b">
        <v>0</v>
      </c>
      <c r="M449" t="b">
        <v>0</v>
      </c>
      <c r="N449" t="s">
        <v>269</v>
      </c>
      <c r="O449" s="4">
        <f t="shared" si="18"/>
        <v>4.1108226942840496</v>
      </c>
      <c r="P449" t="str">
        <f t="shared" si="19"/>
        <v>film &amp; video</v>
      </c>
      <c r="Q449" t="str">
        <f t="shared" si="20"/>
        <v>television</v>
      </c>
    </row>
    <row r="450" spans="1:17" x14ac:dyDescent="0.3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t="s">
        <v>14</v>
      </c>
      <c r="G450">
        <v>605</v>
      </c>
      <c r="H450" t="s">
        <v>21</v>
      </c>
      <c r="I450" t="s">
        <v>22</v>
      </c>
      <c r="J450">
        <v>1365915600</v>
      </c>
      <c r="K450">
        <v>1366088400</v>
      </c>
      <c r="L450" t="b">
        <v>0</v>
      </c>
      <c r="M450" t="b">
        <v>1</v>
      </c>
      <c r="N450" t="s">
        <v>89</v>
      </c>
      <c r="O450" s="4">
        <f t="shared" si="18"/>
        <v>1.9808743169398908</v>
      </c>
      <c r="P450" t="str">
        <f t="shared" si="19"/>
        <v>games</v>
      </c>
      <c r="Q450" t="str">
        <f t="shared" si="20"/>
        <v>video games</v>
      </c>
    </row>
    <row r="451" spans="1:17" x14ac:dyDescent="0.3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t="s">
        <v>20</v>
      </c>
      <c r="G451">
        <v>86</v>
      </c>
      <c r="H451" t="s">
        <v>36</v>
      </c>
      <c r="I451" t="s">
        <v>37</v>
      </c>
      <c r="J451">
        <v>1551852000</v>
      </c>
      <c r="K451">
        <v>1553317200</v>
      </c>
      <c r="L451" t="b">
        <v>0</v>
      </c>
      <c r="M451" t="b">
        <v>0</v>
      </c>
      <c r="N451" t="s">
        <v>89</v>
      </c>
      <c r="O451" s="4">
        <f t="shared" ref="O451:O514" si="21">D451/E451</f>
        <v>0.10341261633919338</v>
      </c>
      <c r="P451" t="str">
        <f t="shared" ref="P451:P514" si="22">LEFT(N451,SEARCH("/",N451) -1)</f>
        <v>games</v>
      </c>
      <c r="Q451" t="str">
        <f t="shared" ref="Q451:Q514" si="23">RIGHT(N451,LEN(N451)-SEARCH("/",N451))</f>
        <v>video games</v>
      </c>
    </row>
    <row r="452" spans="1:17" x14ac:dyDescent="0.3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t="s">
        <v>14</v>
      </c>
      <c r="G452">
        <v>1</v>
      </c>
      <c r="H452" t="s">
        <v>15</v>
      </c>
      <c r="I452" t="s">
        <v>16</v>
      </c>
      <c r="J452">
        <v>1540098000</v>
      </c>
      <c r="K452">
        <v>1542088800</v>
      </c>
      <c r="L452" t="b">
        <v>0</v>
      </c>
      <c r="M452" t="b">
        <v>0</v>
      </c>
      <c r="N452" t="s">
        <v>71</v>
      </c>
      <c r="O452" s="4">
        <f t="shared" si="21"/>
        <v>25</v>
      </c>
      <c r="P452" t="str">
        <f t="shared" si="22"/>
        <v>film &amp; video</v>
      </c>
      <c r="Q452" t="str">
        <f t="shared" si="23"/>
        <v>animation</v>
      </c>
    </row>
    <row r="453" spans="1:17" x14ac:dyDescent="0.3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t="s">
        <v>20</v>
      </c>
      <c r="G453">
        <v>6286</v>
      </c>
      <c r="H453" t="s">
        <v>21</v>
      </c>
      <c r="I453" t="s">
        <v>22</v>
      </c>
      <c r="J453">
        <v>1500440400</v>
      </c>
      <c r="K453">
        <v>1503118800</v>
      </c>
      <c r="L453" t="b">
        <v>0</v>
      </c>
      <c r="M453" t="b">
        <v>0</v>
      </c>
      <c r="N453" t="s">
        <v>23</v>
      </c>
      <c r="O453" s="4">
        <f t="shared" si="21"/>
        <v>0.81403385590942501</v>
      </c>
      <c r="P453" t="str">
        <f t="shared" si="22"/>
        <v>music</v>
      </c>
      <c r="Q453" t="str">
        <f t="shared" si="23"/>
        <v>rock</v>
      </c>
    </row>
    <row r="454" spans="1:17" ht="31.2" x14ac:dyDescent="0.3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t="s">
        <v>14</v>
      </c>
      <c r="G454">
        <v>31</v>
      </c>
      <c r="H454" t="s">
        <v>21</v>
      </c>
      <c r="I454" t="s">
        <v>22</v>
      </c>
      <c r="J454">
        <v>1278392400</v>
      </c>
      <c r="K454">
        <v>1278478800</v>
      </c>
      <c r="L454" t="b">
        <v>0</v>
      </c>
      <c r="M454" t="b">
        <v>0</v>
      </c>
      <c r="N454" t="s">
        <v>53</v>
      </c>
      <c r="O454" s="4">
        <f t="shared" si="21"/>
        <v>1.5763546798029557</v>
      </c>
      <c r="P454" t="str">
        <f t="shared" si="22"/>
        <v>film &amp; video</v>
      </c>
      <c r="Q454" t="str">
        <f t="shared" si="23"/>
        <v>drama</v>
      </c>
    </row>
    <row r="455" spans="1:17" ht="31.2" x14ac:dyDescent="0.3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t="s">
        <v>14</v>
      </c>
      <c r="G455">
        <v>1181</v>
      </c>
      <c r="H455" t="s">
        <v>21</v>
      </c>
      <c r="I455" t="s">
        <v>22</v>
      </c>
      <c r="J455">
        <v>1480572000</v>
      </c>
      <c r="K455">
        <v>1484114400</v>
      </c>
      <c r="L455" t="b">
        <v>0</v>
      </c>
      <c r="M455" t="b">
        <v>0</v>
      </c>
      <c r="N455" t="s">
        <v>474</v>
      </c>
      <c r="O455" s="4">
        <f t="shared" si="21"/>
        <v>1.7751997586351205</v>
      </c>
      <c r="P455" t="str">
        <f t="shared" si="22"/>
        <v>film &amp; video</v>
      </c>
      <c r="Q455" t="str">
        <f t="shared" si="23"/>
        <v>science fiction</v>
      </c>
    </row>
    <row r="456" spans="1:17" x14ac:dyDescent="0.3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t="s">
        <v>14</v>
      </c>
      <c r="G456">
        <v>39</v>
      </c>
      <c r="H456" t="s">
        <v>21</v>
      </c>
      <c r="I456" t="s">
        <v>22</v>
      </c>
      <c r="J456">
        <v>1382331600</v>
      </c>
      <c r="K456">
        <v>1385445600</v>
      </c>
      <c r="L456" t="b">
        <v>0</v>
      </c>
      <c r="M456" t="b">
        <v>1</v>
      </c>
      <c r="N456" t="s">
        <v>53</v>
      </c>
      <c r="O456" s="4">
        <f t="shared" si="21"/>
        <v>2.2688598979013044</v>
      </c>
      <c r="P456" t="str">
        <f t="shared" si="22"/>
        <v>film &amp; video</v>
      </c>
      <c r="Q456" t="str">
        <f t="shared" si="23"/>
        <v>drama</v>
      </c>
    </row>
    <row r="457" spans="1:17" x14ac:dyDescent="0.3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t="s">
        <v>20</v>
      </c>
      <c r="G457">
        <v>3727</v>
      </c>
      <c r="H457" t="s">
        <v>21</v>
      </c>
      <c r="I457" t="s">
        <v>22</v>
      </c>
      <c r="J457">
        <v>1316754000</v>
      </c>
      <c r="K457">
        <v>1318741200</v>
      </c>
      <c r="L457" t="b">
        <v>0</v>
      </c>
      <c r="M457" t="b">
        <v>0</v>
      </c>
      <c r="N457" t="s">
        <v>33</v>
      </c>
      <c r="O457" s="4">
        <f t="shared" si="21"/>
        <v>0.84479057895347487</v>
      </c>
      <c r="P457" t="str">
        <f t="shared" si="22"/>
        <v>theater</v>
      </c>
      <c r="Q457" t="str">
        <f t="shared" si="23"/>
        <v>plays</v>
      </c>
    </row>
    <row r="458" spans="1:17" ht="31.2" x14ac:dyDescent="0.3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t="s">
        <v>20</v>
      </c>
      <c r="G458">
        <v>1605</v>
      </c>
      <c r="H458" t="s">
        <v>21</v>
      </c>
      <c r="I458" t="s">
        <v>22</v>
      </c>
      <c r="J458">
        <v>1518242400</v>
      </c>
      <c r="K458">
        <v>1518242400</v>
      </c>
      <c r="L458" t="b">
        <v>0</v>
      </c>
      <c r="M458" t="b">
        <v>1</v>
      </c>
      <c r="N458" t="s">
        <v>60</v>
      </c>
      <c r="O458" s="4">
        <f t="shared" si="21"/>
        <v>0.96039045382384969</v>
      </c>
      <c r="P458" t="str">
        <f t="shared" si="22"/>
        <v>music</v>
      </c>
      <c r="Q458" t="str">
        <f t="shared" si="23"/>
        <v>indie rock</v>
      </c>
    </row>
    <row r="459" spans="1:17" x14ac:dyDescent="0.3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t="s">
        <v>14</v>
      </c>
      <c r="G459">
        <v>46</v>
      </c>
      <c r="H459" t="s">
        <v>21</v>
      </c>
      <c r="I459" t="s">
        <v>22</v>
      </c>
      <c r="J459">
        <v>1476421200</v>
      </c>
      <c r="K459">
        <v>1476594000</v>
      </c>
      <c r="L459" t="b">
        <v>0</v>
      </c>
      <c r="M459" t="b">
        <v>0</v>
      </c>
      <c r="N459" t="s">
        <v>33</v>
      </c>
      <c r="O459" s="4">
        <f t="shared" si="21"/>
        <v>3.7537537537537538</v>
      </c>
      <c r="P459" t="str">
        <f t="shared" si="22"/>
        <v>theater</v>
      </c>
      <c r="Q459" t="str">
        <f t="shared" si="23"/>
        <v>plays</v>
      </c>
    </row>
    <row r="460" spans="1:17" x14ac:dyDescent="0.3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t="s">
        <v>20</v>
      </c>
      <c r="G460">
        <v>2120</v>
      </c>
      <c r="H460" t="s">
        <v>21</v>
      </c>
      <c r="I460" t="s">
        <v>22</v>
      </c>
      <c r="J460">
        <v>1269752400</v>
      </c>
      <c r="K460">
        <v>1273554000</v>
      </c>
      <c r="L460" t="b">
        <v>0</v>
      </c>
      <c r="M460" t="b">
        <v>0</v>
      </c>
      <c r="N460" t="s">
        <v>33</v>
      </c>
      <c r="O460" s="4">
        <f t="shared" si="21"/>
        <v>0.28473708152915606</v>
      </c>
      <c r="P460" t="str">
        <f t="shared" si="22"/>
        <v>theater</v>
      </c>
      <c r="Q460" t="str">
        <f t="shared" si="23"/>
        <v>plays</v>
      </c>
    </row>
    <row r="461" spans="1:17" x14ac:dyDescent="0.3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t="s">
        <v>14</v>
      </c>
      <c r="G461">
        <v>105</v>
      </c>
      <c r="H461" t="s">
        <v>21</v>
      </c>
      <c r="I461" t="s">
        <v>22</v>
      </c>
      <c r="J461">
        <v>1419746400</v>
      </c>
      <c r="K461">
        <v>1421906400</v>
      </c>
      <c r="L461" t="b">
        <v>0</v>
      </c>
      <c r="M461" t="b">
        <v>0</v>
      </c>
      <c r="N461" t="s">
        <v>42</v>
      </c>
      <c r="O461" s="4">
        <f t="shared" si="21"/>
        <v>1.1103278110680297</v>
      </c>
      <c r="P461" t="str">
        <f t="shared" si="22"/>
        <v>film &amp; video</v>
      </c>
      <c r="Q461" t="str">
        <f t="shared" si="23"/>
        <v>documentary</v>
      </c>
    </row>
    <row r="462" spans="1:17" x14ac:dyDescent="0.3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t="s">
        <v>20</v>
      </c>
      <c r="G462">
        <v>50</v>
      </c>
      <c r="H462" t="s">
        <v>21</v>
      </c>
      <c r="I462" t="s">
        <v>22</v>
      </c>
      <c r="J462">
        <v>1281330000</v>
      </c>
      <c r="K462">
        <v>1281589200</v>
      </c>
      <c r="L462" t="b">
        <v>0</v>
      </c>
      <c r="M462" t="b">
        <v>0</v>
      </c>
      <c r="N462" t="s">
        <v>33</v>
      </c>
      <c r="O462" s="4">
        <f t="shared" si="21"/>
        <v>0.58266569555717407</v>
      </c>
      <c r="P462" t="str">
        <f t="shared" si="22"/>
        <v>theater</v>
      </c>
      <c r="Q462" t="str">
        <f t="shared" si="23"/>
        <v>plays</v>
      </c>
    </row>
    <row r="463" spans="1:17" x14ac:dyDescent="0.3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t="s">
        <v>20</v>
      </c>
      <c r="G463">
        <v>2080</v>
      </c>
      <c r="H463" t="s">
        <v>21</v>
      </c>
      <c r="I463" t="s">
        <v>22</v>
      </c>
      <c r="J463">
        <v>1398661200</v>
      </c>
      <c r="K463">
        <v>1400389200</v>
      </c>
      <c r="L463" t="b">
        <v>0</v>
      </c>
      <c r="M463" t="b">
        <v>0</v>
      </c>
      <c r="N463" t="s">
        <v>53</v>
      </c>
      <c r="O463" s="4">
        <f t="shared" si="21"/>
        <v>0.70898574852533836</v>
      </c>
      <c r="P463" t="str">
        <f t="shared" si="22"/>
        <v>film &amp; video</v>
      </c>
      <c r="Q463" t="str">
        <f t="shared" si="23"/>
        <v>drama</v>
      </c>
    </row>
    <row r="464" spans="1:17" x14ac:dyDescent="0.3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t="s">
        <v>14</v>
      </c>
      <c r="G464">
        <v>535</v>
      </c>
      <c r="H464" t="s">
        <v>21</v>
      </c>
      <c r="I464" t="s">
        <v>22</v>
      </c>
      <c r="J464">
        <v>1359525600</v>
      </c>
      <c r="K464">
        <v>1362808800</v>
      </c>
      <c r="L464" t="b">
        <v>0</v>
      </c>
      <c r="M464" t="b">
        <v>0</v>
      </c>
      <c r="N464" t="s">
        <v>292</v>
      </c>
      <c r="O464" s="4">
        <f t="shared" si="21"/>
        <v>3.2701700904146604</v>
      </c>
      <c r="P464" t="str">
        <f t="shared" si="22"/>
        <v>games</v>
      </c>
      <c r="Q464" t="str">
        <f t="shared" si="23"/>
        <v>mobile games</v>
      </c>
    </row>
    <row r="465" spans="1:17" ht="31.2" x14ac:dyDescent="0.3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t="s">
        <v>20</v>
      </c>
      <c r="G465">
        <v>2105</v>
      </c>
      <c r="H465" t="s">
        <v>21</v>
      </c>
      <c r="I465" t="s">
        <v>22</v>
      </c>
      <c r="J465">
        <v>1388469600</v>
      </c>
      <c r="K465">
        <v>1388815200</v>
      </c>
      <c r="L465" t="b">
        <v>0</v>
      </c>
      <c r="M465" t="b">
        <v>0</v>
      </c>
      <c r="N465" t="s">
        <v>71</v>
      </c>
      <c r="O465" s="4">
        <f t="shared" si="21"/>
        <v>0.92451726155646574</v>
      </c>
      <c r="P465" t="str">
        <f t="shared" si="22"/>
        <v>film &amp; video</v>
      </c>
      <c r="Q465" t="str">
        <f t="shared" si="23"/>
        <v>animation</v>
      </c>
    </row>
    <row r="466" spans="1:17" x14ac:dyDescent="0.3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t="s">
        <v>20</v>
      </c>
      <c r="G466">
        <v>2436</v>
      </c>
      <c r="H466" t="s">
        <v>21</v>
      </c>
      <c r="I466" t="s">
        <v>22</v>
      </c>
      <c r="J466">
        <v>1518328800</v>
      </c>
      <c r="K466">
        <v>1519538400</v>
      </c>
      <c r="L466" t="b">
        <v>0</v>
      </c>
      <c r="M466" t="b">
        <v>0</v>
      </c>
      <c r="N466" t="s">
        <v>33</v>
      </c>
      <c r="O466" s="4">
        <f t="shared" si="21"/>
        <v>0.74931593348768677</v>
      </c>
      <c r="P466" t="str">
        <f t="shared" si="22"/>
        <v>theater</v>
      </c>
      <c r="Q466" t="str">
        <f t="shared" si="23"/>
        <v>plays</v>
      </c>
    </row>
    <row r="467" spans="1:17" x14ac:dyDescent="0.3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t="s">
        <v>20</v>
      </c>
      <c r="G467">
        <v>80</v>
      </c>
      <c r="H467" t="s">
        <v>21</v>
      </c>
      <c r="I467" t="s">
        <v>22</v>
      </c>
      <c r="J467">
        <v>1517032800</v>
      </c>
      <c r="K467">
        <v>1517810400</v>
      </c>
      <c r="L467" t="b">
        <v>0</v>
      </c>
      <c r="M467" t="b">
        <v>0</v>
      </c>
      <c r="N467" t="s">
        <v>206</v>
      </c>
      <c r="O467" s="4">
        <f t="shared" si="21"/>
        <v>0.53233661796352927</v>
      </c>
      <c r="P467" t="str">
        <f t="shared" si="22"/>
        <v>publishing</v>
      </c>
      <c r="Q467" t="str">
        <f t="shared" si="23"/>
        <v>translations</v>
      </c>
    </row>
    <row r="468" spans="1:17" x14ac:dyDescent="0.3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t="s">
        <v>20</v>
      </c>
      <c r="G468">
        <v>42</v>
      </c>
      <c r="H468" t="s">
        <v>21</v>
      </c>
      <c r="I468" t="s">
        <v>22</v>
      </c>
      <c r="J468">
        <v>1368594000</v>
      </c>
      <c r="K468">
        <v>1370581200</v>
      </c>
      <c r="L468" t="b">
        <v>0</v>
      </c>
      <c r="M468" t="b">
        <v>1</v>
      </c>
      <c r="N468" t="s">
        <v>65</v>
      </c>
      <c r="O468" s="4">
        <f t="shared" si="21"/>
        <v>0.30120481927710846</v>
      </c>
      <c r="P468" t="str">
        <f t="shared" si="22"/>
        <v>technology</v>
      </c>
      <c r="Q468" t="str">
        <f t="shared" si="23"/>
        <v>wearables</v>
      </c>
    </row>
    <row r="469" spans="1:17" ht="31.2" x14ac:dyDescent="0.3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t="s">
        <v>20</v>
      </c>
      <c r="G469">
        <v>139</v>
      </c>
      <c r="H469" t="s">
        <v>15</v>
      </c>
      <c r="I469" t="s">
        <v>16</v>
      </c>
      <c r="J469">
        <v>1448258400</v>
      </c>
      <c r="K469">
        <v>1448863200</v>
      </c>
      <c r="L469" t="b">
        <v>0</v>
      </c>
      <c r="M469" t="b">
        <v>1</v>
      </c>
      <c r="N469" t="s">
        <v>28</v>
      </c>
      <c r="O469" s="4">
        <f t="shared" si="21"/>
        <v>0.17384825530858064</v>
      </c>
      <c r="P469" t="str">
        <f t="shared" si="22"/>
        <v>technology</v>
      </c>
      <c r="Q469" t="str">
        <f t="shared" si="23"/>
        <v>web</v>
      </c>
    </row>
    <row r="470" spans="1:17" x14ac:dyDescent="0.3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t="s">
        <v>14</v>
      </c>
      <c r="G470">
        <v>16</v>
      </c>
      <c r="H470" t="s">
        <v>21</v>
      </c>
      <c r="I470" t="s">
        <v>22</v>
      </c>
      <c r="J470">
        <v>1555218000</v>
      </c>
      <c r="K470">
        <v>1556600400</v>
      </c>
      <c r="L470" t="b">
        <v>0</v>
      </c>
      <c r="M470" t="b">
        <v>0</v>
      </c>
      <c r="N470" t="s">
        <v>33</v>
      </c>
      <c r="O470" s="4">
        <f t="shared" si="21"/>
        <v>2.4691358024691357</v>
      </c>
      <c r="P470" t="str">
        <f t="shared" si="22"/>
        <v>theater</v>
      </c>
      <c r="Q470" t="str">
        <f t="shared" si="23"/>
        <v>plays</v>
      </c>
    </row>
    <row r="471" spans="1:17" x14ac:dyDescent="0.3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t="s">
        <v>20</v>
      </c>
      <c r="G471">
        <v>159</v>
      </c>
      <c r="H471" t="s">
        <v>21</v>
      </c>
      <c r="I471" t="s">
        <v>22</v>
      </c>
      <c r="J471">
        <v>1431925200</v>
      </c>
      <c r="K471">
        <v>1432098000</v>
      </c>
      <c r="L471" t="b">
        <v>0</v>
      </c>
      <c r="M471" t="b">
        <v>0</v>
      </c>
      <c r="N471" t="s">
        <v>53</v>
      </c>
      <c r="O471" s="4">
        <f t="shared" si="21"/>
        <v>0.5422153369481022</v>
      </c>
      <c r="P471" t="str">
        <f t="shared" si="22"/>
        <v>film &amp; video</v>
      </c>
      <c r="Q471" t="str">
        <f t="shared" si="23"/>
        <v>drama</v>
      </c>
    </row>
    <row r="472" spans="1:17" x14ac:dyDescent="0.3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t="s">
        <v>20</v>
      </c>
      <c r="G472">
        <v>381</v>
      </c>
      <c r="H472" t="s">
        <v>21</v>
      </c>
      <c r="I472" t="s">
        <v>22</v>
      </c>
      <c r="J472">
        <v>1481522400</v>
      </c>
      <c r="K472">
        <v>1482127200</v>
      </c>
      <c r="L472" t="b">
        <v>0</v>
      </c>
      <c r="M472" t="b">
        <v>0</v>
      </c>
      <c r="N472" t="s">
        <v>65</v>
      </c>
      <c r="O472" s="4">
        <f t="shared" si="21"/>
        <v>0.34988823014870252</v>
      </c>
      <c r="P472" t="str">
        <f t="shared" si="22"/>
        <v>technology</v>
      </c>
      <c r="Q472" t="str">
        <f t="shared" si="23"/>
        <v>wearables</v>
      </c>
    </row>
    <row r="473" spans="1:17" x14ac:dyDescent="0.3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t="s">
        <v>20</v>
      </c>
      <c r="G473">
        <v>194</v>
      </c>
      <c r="H473" t="s">
        <v>40</v>
      </c>
      <c r="I473" t="s">
        <v>41</v>
      </c>
      <c r="J473">
        <v>1335934800</v>
      </c>
      <c r="K473">
        <v>1335934800</v>
      </c>
      <c r="L473" t="b">
        <v>0</v>
      </c>
      <c r="M473" t="b">
        <v>1</v>
      </c>
      <c r="N473" t="s">
        <v>17</v>
      </c>
      <c r="O473" s="4">
        <f t="shared" si="21"/>
        <v>0.31347962382445144</v>
      </c>
      <c r="P473" t="str">
        <f t="shared" si="22"/>
        <v>food</v>
      </c>
      <c r="Q473" t="str">
        <f t="shared" si="23"/>
        <v>food trucks</v>
      </c>
    </row>
    <row r="474" spans="1:17" ht="31.2" x14ac:dyDescent="0.3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t="s">
        <v>14</v>
      </c>
      <c r="G474">
        <v>575</v>
      </c>
      <c r="H474" t="s">
        <v>21</v>
      </c>
      <c r="I474" t="s">
        <v>22</v>
      </c>
      <c r="J474">
        <v>1552280400</v>
      </c>
      <c r="K474">
        <v>1556946000</v>
      </c>
      <c r="L474" t="b">
        <v>0</v>
      </c>
      <c r="M474" t="b">
        <v>0</v>
      </c>
      <c r="N474" t="s">
        <v>23</v>
      </c>
      <c r="O474" s="4">
        <f t="shared" si="21"/>
        <v>2.5488051440124622</v>
      </c>
      <c r="P474" t="str">
        <f t="shared" si="22"/>
        <v>music</v>
      </c>
      <c r="Q474" t="str">
        <f t="shared" si="23"/>
        <v>rock</v>
      </c>
    </row>
    <row r="475" spans="1:17" x14ac:dyDescent="0.3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t="s">
        <v>20</v>
      </c>
      <c r="G475">
        <v>106</v>
      </c>
      <c r="H475" t="s">
        <v>21</v>
      </c>
      <c r="I475" t="s">
        <v>22</v>
      </c>
      <c r="J475">
        <v>1529989200</v>
      </c>
      <c r="K475">
        <v>1530075600</v>
      </c>
      <c r="L475" t="b">
        <v>0</v>
      </c>
      <c r="M475" t="b">
        <v>0</v>
      </c>
      <c r="N475" t="s">
        <v>50</v>
      </c>
      <c r="O475" s="4">
        <f t="shared" si="21"/>
        <v>0.56135623666778933</v>
      </c>
      <c r="P475" t="str">
        <f t="shared" si="22"/>
        <v>music</v>
      </c>
      <c r="Q475" t="str">
        <f t="shared" si="23"/>
        <v>electric music</v>
      </c>
    </row>
    <row r="476" spans="1:17" x14ac:dyDescent="0.3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t="s">
        <v>20</v>
      </c>
      <c r="G476">
        <v>142</v>
      </c>
      <c r="H476" t="s">
        <v>21</v>
      </c>
      <c r="I476" t="s">
        <v>22</v>
      </c>
      <c r="J476">
        <v>1418709600</v>
      </c>
      <c r="K476">
        <v>1418796000</v>
      </c>
      <c r="L476" t="b">
        <v>0</v>
      </c>
      <c r="M476" t="b">
        <v>0</v>
      </c>
      <c r="N476" t="s">
        <v>269</v>
      </c>
      <c r="O476" s="4">
        <f t="shared" si="21"/>
        <v>0.2738600575106121</v>
      </c>
      <c r="P476" t="str">
        <f t="shared" si="22"/>
        <v>film &amp; video</v>
      </c>
      <c r="Q476" t="str">
        <f t="shared" si="23"/>
        <v>television</v>
      </c>
    </row>
    <row r="477" spans="1:17" ht="31.2" x14ac:dyDescent="0.3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t="s">
        <v>20</v>
      </c>
      <c r="G477">
        <v>211</v>
      </c>
      <c r="H477" t="s">
        <v>21</v>
      </c>
      <c r="I477" t="s">
        <v>22</v>
      </c>
      <c r="J477">
        <v>1372136400</v>
      </c>
      <c r="K477">
        <v>1372482000</v>
      </c>
      <c r="L477" t="b">
        <v>0</v>
      </c>
      <c r="M477" t="b">
        <v>1</v>
      </c>
      <c r="N477" t="s">
        <v>206</v>
      </c>
      <c r="O477" s="4">
        <f t="shared" si="21"/>
        <v>0.87760910815939275</v>
      </c>
      <c r="P477" t="str">
        <f t="shared" si="22"/>
        <v>publishing</v>
      </c>
      <c r="Q477" t="str">
        <f t="shared" si="23"/>
        <v>translations</v>
      </c>
    </row>
    <row r="478" spans="1:17" ht="31.2" x14ac:dyDescent="0.3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t="s">
        <v>14</v>
      </c>
      <c r="G478">
        <v>1120</v>
      </c>
      <c r="H478" t="s">
        <v>21</v>
      </c>
      <c r="I478" t="s">
        <v>22</v>
      </c>
      <c r="J478">
        <v>1533877200</v>
      </c>
      <c r="K478">
        <v>1534395600</v>
      </c>
      <c r="L478" t="b">
        <v>0</v>
      </c>
      <c r="M478" t="b">
        <v>0</v>
      </c>
      <c r="N478" t="s">
        <v>119</v>
      </c>
      <c r="O478" s="4">
        <f t="shared" si="21"/>
        <v>3.3524736528833023</v>
      </c>
      <c r="P478" t="str">
        <f t="shared" si="22"/>
        <v>publishing</v>
      </c>
      <c r="Q478" t="str">
        <f t="shared" si="23"/>
        <v>fiction</v>
      </c>
    </row>
    <row r="479" spans="1:17" x14ac:dyDescent="0.3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t="s">
        <v>14</v>
      </c>
      <c r="G479">
        <v>113</v>
      </c>
      <c r="H479" t="s">
        <v>21</v>
      </c>
      <c r="I479" t="s">
        <v>22</v>
      </c>
      <c r="J479">
        <v>1309064400</v>
      </c>
      <c r="K479">
        <v>1311397200</v>
      </c>
      <c r="L479" t="b">
        <v>0</v>
      </c>
      <c r="M479" t="b">
        <v>0</v>
      </c>
      <c r="N479" t="s">
        <v>474</v>
      </c>
      <c r="O479" s="4">
        <f t="shared" si="21"/>
        <v>1.8426186863212659</v>
      </c>
      <c r="P479" t="str">
        <f t="shared" si="22"/>
        <v>film &amp; video</v>
      </c>
      <c r="Q479" t="str">
        <f t="shared" si="23"/>
        <v>science fiction</v>
      </c>
    </row>
    <row r="480" spans="1:17" x14ac:dyDescent="0.3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t="s">
        <v>20</v>
      </c>
      <c r="G480">
        <v>2756</v>
      </c>
      <c r="H480" t="s">
        <v>21</v>
      </c>
      <c r="I480" t="s">
        <v>22</v>
      </c>
      <c r="J480">
        <v>1425877200</v>
      </c>
      <c r="K480">
        <v>1426914000</v>
      </c>
      <c r="L480" t="b">
        <v>0</v>
      </c>
      <c r="M480" t="b">
        <v>0</v>
      </c>
      <c r="N480" t="s">
        <v>65</v>
      </c>
      <c r="O480" s="4">
        <f t="shared" si="21"/>
        <v>0.42311642466621158</v>
      </c>
      <c r="P480" t="str">
        <f t="shared" si="22"/>
        <v>technology</v>
      </c>
      <c r="Q480" t="str">
        <f t="shared" si="23"/>
        <v>wearables</v>
      </c>
    </row>
    <row r="481" spans="1:17" x14ac:dyDescent="0.3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t="s">
        <v>20</v>
      </c>
      <c r="G481">
        <v>173</v>
      </c>
      <c r="H481" t="s">
        <v>40</v>
      </c>
      <c r="I481" t="s">
        <v>41</v>
      </c>
      <c r="J481">
        <v>1501304400</v>
      </c>
      <c r="K481">
        <v>1501477200</v>
      </c>
      <c r="L481" t="b">
        <v>0</v>
      </c>
      <c r="M481" t="b">
        <v>0</v>
      </c>
      <c r="N481" t="s">
        <v>17</v>
      </c>
      <c r="O481" s="4">
        <f t="shared" si="21"/>
        <v>0.19496344435418358</v>
      </c>
      <c r="P481" t="str">
        <f t="shared" si="22"/>
        <v>food</v>
      </c>
      <c r="Q481" t="str">
        <f t="shared" si="23"/>
        <v>food trucks</v>
      </c>
    </row>
    <row r="482" spans="1:17" x14ac:dyDescent="0.3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t="s">
        <v>20</v>
      </c>
      <c r="G482">
        <v>87</v>
      </c>
      <c r="H482" t="s">
        <v>21</v>
      </c>
      <c r="I482" t="s">
        <v>22</v>
      </c>
      <c r="J482">
        <v>1268287200</v>
      </c>
      <c r="K482">
        <v>1269061200</v>
      </c>
      <c r="L482" t="b">
        <v>0</v>
      </c>
      <c r="M482" t="b">
        <v>1</v>
      </c>
      <c r="N482" t="s">
        <v>122</v>
      </c>
      <c r="O482" s="4">
        <f t="shared" si="21"/>
        <v>0.99353049907578561</v>
      </c>
      <c r="P482" t="str">
        <f t="shared" si="22"/>
        <v>photography</v>
      </c>
      <c r="Q482" t="str">
        <f t="shared" si="23"/>
        <v>photography books</v>
      </c>
    </row>
    <row r="483" spans="1:17" ht="31.2" x14ac:dyDescent="0.3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t="s">
        <v>14</v>
      </c>
      <c r="G483">
        <v>1538</v>
      </c>
      <c r="H483" t="s">
        <v>21</v>
      </c>
      <c r="I483" t="s">
        <v>22</v>
      </c>
      <c r="J483">
        <v>1412139600</v>
      </c>
      <c r="K483">
        <v>1415772000</v>
      </c>
      <c r="L483" t="b">
        <v>0</v>
      </c>
      <c r="M483" t="b">
        <v>1</v>
      </c>
      <c r="N483" t="s">
        <v>33</v>
      </c>
      <c r="O483" s="4">
        <f t="shared" si="21"/>
        <v>1.2292801270547924</v>
      </c>
      <c r="P483" t="str">
        <f t="shared" si="22"/>
        <v>theater</v>
      </c>
      <c r="Q483" t="str">
        <f t="shared" si="23"/>
        <v>plays</v>
      </c>
    </row>
    <row r="484" spans="1:17" ht="31.2" x14ac:dyDescent="0.3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t="s">
        <v>14</v>
      </c>
      <c r="G484">
        <v>9</v>
      </c>
      <c r="H484" t="s">
        <v>21</v>
      </c>
      <c r="I484" t="s">
        <v>22</v>
      </c>
      <c r="J484">
        <v>1330063200</v>
      </c>
      <c r="K484">
        <v>1331013600</v>
      </c>
      <c r="L484" t="b">
        <v>0</v>
      </c>
      <c r="M484" t="b">
        <v>1</v>
      </c>
      <c r="N484" t="s">
        <v>119</v>
      </c>
      <c r="O484" s="4">
        <f t="shared" si="21"/>
        <v>6.0957910014513788</v>
      </c>
      <c r="P484" t="str">
        <f t="shared" si="22"/>
        <v>publishing</v>
      </c>
      <c r="Q484" t="str">
        <f t="shared" si="23"/>
        <v>fiction</v>
      </c>
    </row>
    <row r="485" spans="1:17" x14ac:dyDescent="0.3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t="s">
        <v>14</v>
      </c>
      <c r="G485">
        <v>554</v>
      </c>
      <c r="H485" t="s">
        <v>21</v>
      </c>
      <c r="I485" t="s">
        <v>22</v>
      </c>
      <c r="J485">
        <v>1576130400</v>
      </c>
      <c r="K485">
        <v>1576735200</v>
      </c>
      <c r="L485" t="b">
        <v>0</v>
      </c>
      <c r="M485" t="b">
        <v>0</v>
      </c>
      <c r="N485" t="s">
        <v>33</v>
      </c>
      <c r="O485" s="4">
        <f t="shared" si="21"/>
        <v>1.8948503192636206</v>
      </c>
      <c r="P485" t="str">
        <f t="shared" si="22"/>
        <v>theater</v>
      </c>
      <c r="Q485" t="str">
        <f t="shared" si="23"/>
        <v>plays</v>
      </c>
    </row>
    <row r="486" spans="1:17" x14ac:dyDescent="0.3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t="s">
        <v>20</v>
      </c>
      <c r="G486">
        <v>1572</v>
      </c>
      <c r="H486" t="s">
        <v>40</v>
      </c>
      <c r="I486" t="s">
        <v>41</v>
      </c>
      <c r="J486">
        <v>1407128400</v>
      </c>
      <c r="K486">
        <v>1411362000</v>
      </c>
      <c r="L486" t="b">
        <v>0</v>
      </c>
      <c r="M486" t="b">
        <v>1</v>
      </c>
      <c r="N486" t="s">
        <v>17</v>
      </c>
      <c r="O486" s="4">
        <f t="shared" si="21"/>
        <v>0.38431077238675165</v>
      </c>
      <c r="P486" t="str">
        <f t="shared" si="22"/>
        <v>food</v>
      </c>
      <c r="Q486" t="str">
        <f t="shared" si="23"/>
        <v>food trucks</v>
      </c>
    </row>
    <row r="487" spans="1:17" ht="31.2" x14ac:dyDescent="0.3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t="s">
        <v>14</v>
      </c>
      <c r="G487">
        <v>648</v>
      </c>
      <c r="H487" t="s">
        <v>40</v>
      </c>
      <c r="I487" t="s">
        <v>41</v>
      </c>
      <c r="J487">
        <v>1560142800</v>
      </c>
      <c r="K487">
        <v>1563685200</v>
      </c>
      <c r="L487" t="b">
        <v>0</v>
      </c>
      <c r="M487" t="b">
        <v>0</v>
      </c>
      <c r="N487" t="s">
        <v>33</v>
      </c>
      <c r="O487" s="4">
        <f t="shared" si="21"/>
        <v>3.2538428386726044</v>
      </c>
      <c r="P487" t="str">
        <f t="shared" si="22"/>
        <v>theater</v>
      </c>
      <c r="Q487" t="str">
        <f t="shared" si="23"/>
        <v>plays</v>
      </c>
    </row>
    <row r="488" spans="1:17" ht="31.2" x14ac:dyDescent="0.3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t="s">
        <v>14</v>
      </c>
      <c r="G488">
        <v>21</v>
      </c>
      <c r="H488" t="s">
        <v>40</v>
      </c>
      <c r="I488" t="s">
        <v>41</v>
      </c>
      <c r="J488">
        <v>1520575200</v>
      </c>
      <c r="K488">
        <v>1521867600</v>
      </c>
      <c r="L488" t="b">
        <v>0</v>
      </c>
      <c r="M488" t="b">
        <v>1</v>
      </c>
      <c r="N488" t="s">
        <v>206</v>
      </c>
      <c r="O488" s="4">
        <f t="shared" si="21"/>
        <v>7.4074074074074074</v>
      </c>
      <c r="P488" t="str">
        <f t="shared" si="22"/>
        <v>publishing</v>
      </c>
      <c r="Q488" t="str">
        <f t="shared" si="23"/>
        <v>translations</v>
      </c>
    </row>
    <row r="489" spans="1:17" x14ac:dyDescent="0.3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t="s">
        <v>20</v>
      </c>
      <c r="G489">
        <v>2346</v>
      </c>
      <c r="H489" t="s">
        <v>21</v>
      </c>
      <c r="I489" t="s">
        <v>22</v>
      </c>
      <c r="J489">
        <v>1492664400</v>
      </c>
      <c r="K489">
        <v>1495515600</v>
      </c>
      <c r="L489" t="b">
        <v>0</v>
      </c>
      <c r="M489" t="b">
        <v>0</v>
      </c>
      <c r="N489" t="s">
        <v>33</v>
      </c>
      <c r="O489" s="4">
        <f t="shared" si="21"/>
        <v>0.55983027448432676</v>
      </c>
      <c r="P489" t="str">
        <f t="shared" si="22"/>
        <v>theater</v>
      </c>
      <c r="Q489" t="str">
        <f t="shared" si="23"/>
        <v>plays</v>
      </c>
    </row>
    <row r="490" spans="1:17" x14ac:dyDescent="0.3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t="s">
        <v>20</v>
      </c>
      <c r="G490">
        <v>115</v>
      </c>
      <c r="H490" t="s">
        <v>21</v>
      </c>
      <c r="I490" t="s">
        <v>22</v>
      </c>
      <c r="J490">
        <v>1454479200</v>
      </c>
      <c r="K490">
        <v>1455948000</v>
      </c>
      <c r="L490" t="b">
        <v>0</v>
      </c>
      <c r="M490" t="b">
        <v>0</v>
      </c>
      <c r="N490" t="s">
        <v>33</v>
      </c>
      <c r="O490" s="4">
        <f t="shared" si="21"/>
        <v>0.45442853468232874</v>
      </c>
      <c r="P490" t="str">
        <f t="shared" si="22"/>
        <v>theater</v>
      </c>
      <c r="Q490" t="str">
        <f t="shared" si="23"/>
        <v>plays</v>
      </c>
    </row>
    <row r="491" spans="1:17" x14ac:dyDescent="0.3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t="s">
        <v>20</v>
      </c>
      <c r="G491">
        <v>85</v>
      </c>
      <c r="H491" t="s">
        <v>107</v>
      </c>
      <c r="I491" t="s">
        <v>108</v>
      </c>
      <c r="J491">
        <v>1281934800</v>
      </c>
      <c r="K491">
        <v>1282366800</v>
      </c>
      <c r="L491" t="b">
        <v>0</v>
      </c>
      <c r="M491" t="b">
        <v>0</v>
      </c>
      <c r="N491" t="s">
        <v>65</v>
      </c>
      <c r="O491" s="4">
        <f t="shared" si="21"/>
        <v>0.98511617946246921</v>
      </c>
      <c r="P491" t="str">
        <f t="shared" si="22"/>
        <v>technology</v>
      </c>
      <c r="Q491" t="str">
        <f t="shared" si="23"/>
        <v>wearables</v>
      </c>
    </row>
    <row r="492" spans="1:17" ht="31.2" x14ac:dyDescent="0.3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t="s">
        <v>20</v>
      </c>
      <c r="G492">
        <v>144</v>
      </c>
      <c r="H492" t="s">
        <v>21</v>
      </c>
      <c r="I492" t="s">
        <v>22</v>
      </c>
      <c r="J492">
        <v>1573970400</v>
      </c>
      <c r="K492">
        <v>1574575200</v>
      </c>
      <c r="L492" t="b">
        <v>0</v>
      </c>
      <c r="M492" t="b">
        <v>0</v>
      </c>
      <c r="N492" t="s">
        <v>1029</v>
      </c>
      <c r="O492" s="4">
        <f t="shared" si="21"/>
        <v>0.52219321148825071</v>
      </c>
      <c r="P492" t="str">
        <f t="shared" si="22"/>
        <v>journalism</v>
      </c>
      <c r="Q492" t="str">
        <f t="shared" si="23"/>
        <v>audio</v>
      </c>
    </row>
    <row r="493" spans="1:17" ht="31.2" x14ac:dyDescent="0.3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t="s">
        <v>20</v>
      </c>
      <c r="G493">
        <v>2443</v>
      </c>
      <c r="H493" t="s">
        <v>21</v>
      </c>
      <c r="I493" t="s">
        <v>22</v>
      </c>
      <c r="J493">
        <v>1372654800</v>
      </c>
      <c r="K493">
        <v>1374901200</v>
      </c>
      <c r="L493" t="b">
        <v>0</v>
      </c>
      <c r="M493" t="b">
        <v>1</v>
      </c>
      <c r="N493" t="s">
        <v>17</v>
      </c>
      <c r="O493" s="4">
        <f t="shared" si="21"/>
        <v>0.32749643962937552</v>
      </c>
      <c r="P493" t="str">
        <f t="shared" si="22"/>
        <v>food</v>
      </c>
      <c r="Q493" t="str">
        <f t="shared" si="23"/>
        <v>food trucks</v>
      </c>
    </row>
    <row r="494" spans="1:17" x14ac:dyDescent="0.3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t="s">
        <v>74</v>
      </c>
      <c r="G494">
        <v>595</v>
      </c>
      <c r="H494" t="s">
        <v>21</v>
      </c>
      <c r="I494" t="s">
        <v>22</v>
      </c>
      <c r="J494">
        <v>1275886800</v>
      </c>
      <c r="K494">
        <v>1278910800</v>
      </c>
      <c r="L494" t="b">
        <v>1</v>
      </c>
      <c r="M494" t="b">
        <v>1</v>
      </c>
      <c r="N494" t="s">
        <v>100</v>
      </c>
      <c r="O494" s="4">
        <f t="shared" si="21"/>
        <v>4.1674848901398613</v>
      </c>
      <c r="P494" t="str">
        <f t="shared" si="22"/>
        <v>film &amp; video</v>
      </c>
      <c r="Q494" t="str">
        <f t="shared" si="23"/>
        <v>shorts</v>
      </c>
    </row>
    <row r="495" spans="1:17" x14ac:dyDescent="0.3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t="s">
        <v>20</v>
      </c>
      <c r="G495">
        <v>64</v>
      </c>
      <c r="H495" t="s">
        <v>21</v>
      </c>
      <c r="I495" t="s">
        <v>22</v>
      </c>
      <c r="J495">
        <v>1561784400</v>
      </c>
      <c r="K495">
        <v>1562907600</v>
      </c>
      <c r="L495" t="b">
        <v>0</v>
      </c>
      <c r="M495" t="b">
        <v>0</v>
      </c>
      <c r="N495" t="s">
        <v>122</v>
      </c>
      <c r="O495" s="4">
        <f t="shared" si="21"/>
        <v>0.1381639545594105</v>
      </c>
      <c r="P495" t="str">
        <f t="shared" si="22"/>
        <v>photography</v>
      </c>
      <c r="Q495" t="str">
        <f t="shared" si="23"/>
        <v>photography books</v>
      </c>
    </row>
    <row r="496" spans="1:17" ht="31.2" x14ac:dyDescent="0.3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t="s">
        <v>20</v>
      </c>
      <c r="G496">
        <v>268</v>
      </c>
      <c r="H496" t="s">
        <v>21</v>
      </c>
      <c r="I496" t="s">
        <v>22</v>
      </c>
      <c r="J496">
        <v>1332392400</v>
      </c>
      <c r="K496">
        <v>1332478800</v>
      </c>
      <c r="L496" t="b">
        <v>0</v>
      </c>
      <c r="M496" t="b">
        <v>0</v>
      </c>
      <c r="N496" t="s">
        <v>65</v>
      </c>
      <c r="O496" s="4">
        <f t="shared" si="21"/>
        <v>0.18269511838643671</v>
      </c>
      <c r="P496" t="str">
        <f t="shared" si="22"/>
        <v>technology</v>
      </c>
      <c r="Q496" t="str">
        <f t="shared" si="23"/>
        <v>wearables</v>
      </c>
    </row>
    <row r="497" spans="1:17" x14ac:dyDescent="0.3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t="s">
        <v>20</v>
      </c>
      <c r="G497">
        <v>195</v>
      </c>
      <c r="H497" t="s">
        <v>36</v>
      </c>
      <c r="I497" t="s">
        <v>37</v>
      </c>
      <c r="J497">
        <v>1402376400</v>
      </c>
      <c r="K497">
        <v>1402722000</v>
      </c>
      <c r="L497" t="b">
        <v>0</v>
      </c>
      <c r="M497" t="b">
        <v>0</v>
      </c>
      <c r="N497" t="s">
        <v>33</v>
      </c>
      <c r="O497" s="4">
        <f t="shared" si="21"/>
        <v>0.24125452352231605</v>
      </c>
      <c r="P497" t="str">
        <f t="shared" si="22"/>
        <v>theater</v>
      </c>
      <c r="Q497" t="str">
        <f t="shared" si="23"/>
        <v>plays</v>
      </c>
    </row>
    <row r="498" spans="1:17" x14ac:dyDescent="0.3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t="s">
        <v>14</v>
      </c>
      <c r="G498">
        <v>54</v>
      </c>
      <c r="H498" t="s">
        <v>21</v>
      </c>
      <c r="I498" t="s">
        <v>22</v>
      </c>
      <c r="J498">
        <v>1495342800</v>
      </c>
      <c r="K498">
        <v>1496811600</v>
      </c>
      <c r="L498" t="b">
        <v>0</v>
      </c>
      <c r="M498" t="b">
        <v>0</v>
      </c>
      <c r="N498" t="s">
        <v>71</v>
      </c>
      <c r="O498" s="4">
        <f t="shared" si="21"/>
        <v>110.25794841031794</v>
      </c>
      <c r="P498" t="str">
        <f t="shared" si="22"/>
        <v>film &amp; video</v>
      </c>
      <c r="Q498" t="str">
        <f t="shared" si="23"/>
        <v>animation</v>
      </c>
    </row>
    <row r="499" spans="1:17" x14ac:dyDescent="0.3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t="s">
        <v>14</v>
      </c>
      <c r="G499">
        <v>120</v>
      </c>
      <c r="H499" t="s">
        <v>21</v>
      </c>
      <c r="I499" t="s">
        <v>22</v>
      </c>
      <c r="J499">
        <v>1482213600</v>
      </c>
      <c r="K499">
        <v>1482213600</v>
      </c>
      <c r="L499" t="b">
        <v>0</v>
      </c>
      <c r="M499" t="b">
        <v>1</v>
      </c>
      <c r="N499" t="s">
        <v>65</v>
      </c>
      <c r="O499" s="4">
        <f t="shared" si="21"/>
        <v>2.9262466407882952</v>
      </c>
      <c r="P499" t="str">
        <f t="shared" si="22"/>
        <v>technology</v>
      </c>
      <c r="Q499" t="str">
        <f t="shared" si="23"/>
        <v>wearables</v>
      </c>
    </row>
    <row r="500" spans="1:17" x14ac:dyDescent="0.3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t="s">
        <v>14</v>
      </c>
      <c r="G500">
        <v>579</v>
      </c>
      <c r="H500" t="s">
        <v>36</v>
      </c>
      <c r="I500" t="s">
        <v>37</v>
      </c>
      <c r="J500">
        <v>1420092000</v>
      </c>
      <c r="K500">
        <v>1420264800</v>
      </c>
      <c r="L500" t="b">
        <v>0</v>
      </c>
      <c r="M500" t="b">
        <v>0</v>
      </c>
      <c r="N500" t="s">
        <v>28</v>
      </c>
      <c r="O500" s="4">
        <f t="shared" si="21"/>
        <v>4.1755726838957621</v>
      </c>
      <c r="P500" t="str">
        <f t="shared" si="22"/>
        <v>technology</v>
      </c>
      <c r="Q500" t="str">
        <f t="shared" si="23"/>
        <v>web</v>
      </c>
    </row>
    <row r="501" spans="1:17" ht="31.2" x14ac:dyDescent="0.3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t="s">
        <v>14</v>
      </c>
      <c r="G501">
        <v>2072</v>
      </c>
      <c r="H501" t="s">
        <v>21</v>
      </c>
      <c r="I501" t="s">
        <v>22</v>
      </c>
      <c r="J501">
        <v>1458018000</v>
      </c>
      <c r="K501">
        <v>1458450000</v>
      </c>
      <c r="L501" t="b">
        <v>0</v>
      </c>
      <c r="M501" t="b">
        <v>1</v>
      </c>
      <c r="N501" t="s">
        <v>42</v>
      </c>
      <c r="O501" s="4">
        <f t="shared" si="21"/>
        <v>2.0801849053249177</v>
      </c>
      <c r="P501" t="str">
        <f t="shared" si="22"/>
        <v>film &amp; video</v>
      </c>
      <c r="Q501" t="str">
        <f t="shared" si="23"/>
        <v>documentary</v>
      </c>
    </row>
    <row r="502" spans="1:17" x14ac:dyDescent="0.3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t="s">
        <v>14</v>
      </c>
      <c r="G502">
        <v>0</v>
      </c>
      <c r="H502" t="s">
        <v>21</v>
      </c>
      <c r="I502" t="s">
        <v>22</v>
      </c>
      <c r="J502">
        <v>1367384400</v>
      </c>
      <c r="K502">
        <v>1369803600</v>
      </c>
      <c r="L502" t="b">
        <v>0</v>
      </c>
      <c r="M502" t="b">
        <v>1</v>
      </c>
      <c r="N502" t="s">
        <v>33</v>
      </c>
      <c r="O502" s="4" t="e">
        <f t="shared" si="21"/>
        <v>#DIV/0!</v>
      </c>
      <c r="P502" t="str">
        <f t="shared" si="22"/>
        <v>theater</v>
      </c>
      <c r="Q502" t="str">
        <f t="shared" si="23"/>
        <v>plays</v>
      </c>
    </row>
    <row r="503" spans="1:17" x14ac:dyDescent="0.3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t="s">
        <v>14</v>
      </c>
      <c r="G503">
        <v>1796</v>
      </c>
      <c r="H503" t="s">
        <v>21</v>
      </c>
      <c r="I503" t="s">
        <v>22</v>
      </c>
      <c r="J503">
        <v>1363064400</v>
      </c>
      <c r="K503">
        <v>1363237200</v>
      </c>
      <c r="L503" t="b">
        <v>0</v>
      </c>
      <c r="M503" t="b">
        <v>0</v>
      </c>
      <c r="N503" t="s">
        <v>42</v>
      </c>
      <c r="O503" s="4">
        <f t="shared" si="21"/>
        <v>1.4256146571006933</v>
      </c>
      <c r="P503" t="str">
        <f t="shared" si="22"/>
        <v>film &amp; video</v>
      </c>
      <c r="Q503" t="str">
        <f t="shared" si="23"/>
        <v>documentary</v>
      </c>
    </row>
    <row r="504" spans="1:17" x14ac:dyDescent="0.3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t="s">
        <v>20</v>
      </c>
      <c r="G504">
        <v>186</v>
      </c>
      <c r="H504" t="s">
        <v>26</v>
      </c>
      <c r="I504" t="s">
        <v>27</v>
      </c>
      <c r="J504">
        <v>1343365200</v>
      </c>
      <c r="K504">
        <v>1345870800</v>
      </c>
      <c r="L504" t="b">
        <v>0</v>
      </c>
      <c r="M504" t="b">
        <v>1</v>
      </c>
      <c r="N504" t="s">
        <v>89</v>
      </c>
      <c r="O504" s="4">
        <f t="shared" si="21"/>
        <v>0.18870663376397154</v>
      </c>
      <c r="P504" t="str">
        <f t="shared" si="22"/>
        <v>games</v>
      </c>
      <c r="Q504" t="str">
        <f t="shared" si="23"/>
        <v>video games</v>
      </c>
    </row>
    <row r="505" spans="1:17" ht="31.2" x14ac:dyDescent="0.3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t="s">
        <v>20</v>
      </c>
      <c r="G505">
        <v>460</v>
      </c>
      <c r="H505" t="s">
        <v>21</v>
      </c>
      <c r="I505" t="s">
        <v>22</v>
      </c>
      <c r="J505">
        <v>1435726800</v>
      </c>
      <c r="K505">
        <v>1437454800</v>
      </c>
      <c r="L505" t="b">
        <v>0</v>
      </c>
      <c r="M505" t="b">
        <v>0</v>
      </c>
      <c r="N505" t="s">
        <v>53</v>
      </c>
      <c r="O505" s="4">
        <f t="shared" si="21"/>
        <v>0.55455276950177235</v>
      </c>
      <c r="P505" t="str">
        <f t="shared" si="22"/>
        <v>film &amp; video</v>
      </c>
      <c r="Q505" t="str">
        <f t="shared" si="23"/>
        <v>drama</v>
      </c>
    </row>
    <row r="506" spans="1:17" x14ac:dyDescent="0.3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t="s">
        <v>14</v>
      </c>
      <c r="G506">
        <v>62</v>
      </c>
      <c r="H506" t="s">
        <v>107</v>
      </c>
      <c r="I506" t="s">
        <v>108</v>
      </c>
      <c r="J506">
        <v>1431925200</v>
      </c>
      <c r="K506">
        <v>1432011600</v>
      </c>
      <c r="L506" t="b">
        <v>0</v>
      </c>
      <c r="M506" t="b">
        <v>0</v>
      </c>
      <c r="N506" t="s">
        <v>23</v>
      </c>
      <c r="O506" s="4">
        <f t="shared" si="21"/>
        <v>1.0831889081455806</v>
      </c>
      <c r="P506" t="str">
        <f t="shared" si="22"/>
        <v>music</v>
      </c>
      <c r="Q506" t="str">
        <f t="shared" si="23"/>
        <v>rock</v>
      </c>
    </row>
    <row r="507" spans="1:17" x14ac:dyDescent="0.3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t="s">
        <v>14</v>
      </c>
      <c r="G507">
        <v>347</v>
      </c>
      <c r="H507" t="s">
        <v>21</v>
      </c>
      <c r="I507" t="s">
        <v>22</v>
      </c>
      <c r="J507">
        <v>1362722400</v>
      </c>
      <c r="K507">
        <v>1366347600</v>
      </c>
      <c r="L507" t="b">
        <v>0</v>
      </c>
      <c r="M507" t="b">
        <v>1</v>
      </c>
      <c r="N507" t="s">
        <v>133</v>
      </c>
      <c r="O507" s="4">
        <f t="shared" si="21"/>
        <v>7.1937264943586463</v>
      </c>
      <c r="P507" t="str">
        <f t="shared" si="22"/>
        <v>publishing</v>
      </c>
      <c r="Q507" t="str">
        <f t="shared" si="23"/>
        <v>radio &amp; podcasts</v>
      </c>
    </row>
    <row r="508" spans="1:17" x14ac:dyDescent="0.3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t="s">
        <v>20</v>
      </c>
      <c r="G508">
        <v>2528</v>
      </c>
      <c r="H508" t="s">
        <v>21</v>
      </c>
      <c r="I508" t="s">
        <v>22</v>
      </c>
      <c r="J508">
        <v>1511416800</v>
      </c>
      <c r="K508">
        <v>1512885600</v>
      </c>
      <c r="L508" t="b">
        <v>0</v>
      </c>
      <c r="M508" t="b">
        <v>1</v>
      </c>
      <c r="N508" t="s">
        <v>33</v>
      </c>
      <c r="O508" s="4">
        <f t="shared" si="21"/>
        <v>0.10786581492623176</v>
      </c>
      <c r="P508" t="str">
        <f t="shared" si="22"/>
        <v>theater</v>
      </c>
      <c r="Q508" t="str">
        <f t="shared" si="23"/>
        <v>plays</v>
      </c>
    </row>
    <row r="509" spans="1:17" ht="31.2" x14ac:dyDescent="0.3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t="s">
        <v>14</v>
      </c>
      <c r="G509">
        <v>19</v>
      </c>
      <c r="H509" t="s">
        <v>21</v>
      </c>
      <c r="I509" t="s">
        <v>22</v>
      </c>
      <c r="J509">
        <v>1365483600</v>
      </c>
      <c r="K509">
        <v>1369717200</v>
      </c>
      <c r="L509" t="b">
        <v>0</v>
      </c>
      <c r="M509" t="b">
        <v>1</v>
      </c>
      <c r="N509" t="s">
        <v>28</v>
      </c>
      <c r="O509" s="4">
        <f t="shared" si="21"/>
        <v>2.5089605734767026</v>
      </c>
      <c r="P509" t="str">
        <f t="shared" si="22"/>
        <v>technology</v>
      </c>
      <c r="Q509" t="str">
        <f t="shared" si="23"/>
        <v>web</v>
      </c>
    </row>
    <row r="510" spans="1:17" x14ac:dyDescent="0.3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t="s">
        <v>20</v>
      </c>
      <c r="G510">
        <v>3657</v>
      </c>
      <c r="H510" t="s">
        <v>21</v>
      </c>
      <c r="I510" t="s">
        <v>22</v>
      </c>
      <c r="J510">
        <v>1532840400</v>
      </c>
      <c r="K510">
        <v>1534654800</v>
      </c>
      <c r="L510" t="b">
        <v>0</v>
      </c>
      <c r="M510" t="b">
        <v>0</v>
      </c>
      <c r="N510" t="s">
        <v>33</v>
      </c>
      <c r="O510" s="4">
        <f t="shared" si="21"/>
        <v>0.89103291713961408</v>
      </c>
      <c r="P510" t="str">
        <f t="shared" si="22"/>
        <v>theater</v>
      </c>
      <c r="Q510" t="str">
        <f t="shared" si="23"/>
        <v>plays</v>
      </c>
    </row>
    <row r="511" spans="1:17" x14ac:dyDescent="0.3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t="s">
        <v>14</v>
      </c>
      <c r="G511">
        <v>1258</v>
      </c>
      <c r="H511" t="s">
        <v>21</v>
      </c>
      <c r="I511" t="s">
        <v>22</v>
      </c>
      <c r="J511">
        <v>1336194000</v>
      </c>
      <c r="K511">
        <v>1337058000</v>
      </c>
      <c r="L511" t="b">
        <v>0</v>
      </c>
      <c r="M511" t="b">
        <v>0</v>
      </c>
      <c r="N511" t="s">
        <v>33</v>
      </c>
      <c r="O511" s="4">
        <f t="shared" si="21"/>
        <v>1.4099238557442892</v>
      </c>
      <c r="P511" t="str">
        <f t="shared" si="22"/>
        <v>theater</v>
      </c>
      <c r="Q511" t="str">
        <f t="shared" si="23"/>
        <v>plays</v>
      </c>
    </row>
    <row r="512" spans="1:17" x14ac:dyDescent="0.3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t="s">
        <v>20</v>
      </c>
      <c r="G512">
        <v>131</v>
      </c>
      <c r="H512" t="s">
        <v>26</v>
      </c>
      <c r="I512" t="s">
        <v>27</v>
      </c>
      <c r="J512">
        <v>1527742800</v>
      </c>
      <c r="K512">
        <v>1529816400</v>
      </c>
      <c r="L512" t="b">
        <v>0</v>
      </c>
      <c r="M512" t="b">
        <v>0</v>
      </c>
      <c r="N512" t="s">
        <v>53</v>
      </c>
      <c r="O512" s="4">
        <f t="shared" si="21"/>
        <v>0.83970287436753144</v>
      </c>
      <c r="P512" t="str">
        <f t="shared" si="22"/>
        <v>film &amp; video</v>
      </c>
      <c r="Q512" t="str">
        <f t="shared" si="23"/>
        <v>drama</v>
      </c>
    </row>
    <row r="513" spans="1:17" x14ac:dyDescent="0.3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t="s">
        <v>14</v>
      </c>
      <c r="G513">
        <v>362</v>
      </c>
      <c r="H513" t="s">
        <v>21</v>
      </c>
      <c r="I513" t="s">
        <v>22</v>
      </c>
      <c r="J513">
        <v>1564030800</v>
      </c>
      <c r="K513">
        <v>1564894800</v>
      </c>
      <c r="L513" t="b">
        <v>0</v>
      </c>
      <c r="M513" t="b">
        <v>0</v>
      </c>
      <c r="N513" t="s">
        <v>33</v>
      </c>
      <c r="O513" s="4">
        <f t="shared" si="21"/>
        <v>4.1636148515409319</v>
      </c>
      <c r="P513" t="str">
        <f t="shared" si="22"/>
        <v>theater</v>
      </c>
      <c r="Q513" t="str">
        <f t="shared" si="23"/>
        <v>plays</v>
      </c>
    </row>
    <row r="514" spans="1:17" x14ac:dyDescent="0.3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t="s">
        <v>20</v>
      </c>
      <c r="G514">
        <v>239</v>
      </c>
      <c r="H514" t="s">
        <v>21</v>
      </c>
      <c r="I514" t="s">
        <v>22</v>
      </c>
      <c r="J514">
        <v>1404536400</v>
      </c>
      <c r="K514">
        <v>1404622800</v>
      </c>
      <c r="L514" t="b">
        <v>0</v>
      </c>
      <c r="M514" t="b">
        <v>1</v>
      </c>
      <c r="N514" t="s">
        <v>89</v>
      </c>
      <c r="O514" s="4">
        <f t="shared" si="21"/>
        <v>0.71777882946837046</v>
      </c>
      <c r="P514" t="str">
        <f t="shared" si="22"/>
        <v>games</v>
      </c>
      <c r="Q514" t="str">
        <f t="shared" si="23"/>
        <v>video games</v>
      </c>
    </row>
    <row r="515" spans="1:17" x14ac:dyDescent="0.3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t="s">
        <v>74</v>
      </c>
      <c r="G515">
        <v>35</v>
      </c>
      <c r="H515" t="s">
        <v>21</v>
      </c>
      <c r="I515" t="s">
        <v>22</v>
      </c>
      <c r="J515">
        <v>1284008400</v>
      </c>
      <c r="K515">
        <v>1284181200</v>
      </c>
      <c r="L515" t="b">
        <v>0</v>
      </c>
      <c r="M515" t="b">
        <v>0</v>
      </c>
      <c r="N515" t="s">
        <v>269</v>
      </c>
      <c r="O515" s="4">
        <f t="shared" ref="O515:O578" si="24">D515/E515</f>
        <v>2.5460122699386503</v>
      </c>
      <c r="P515" t="str">
        <f t="shared" ref="P515:P578" si="25">LEFT(N515,SEARCH("/",N515) -1)</f>
        <v>film &amp; video</v>
      </c>
      <c r="Q515" t="str">
        <f t="shared" ref="Q515:Q578" si="26">RIGHT(N515,LEN(N515)-SEARCH("/",N515))</f>
        <v>television</v>
      </c>
    </row>
    <row r="516" spans="1:17" x14ac:dyDescent="0.3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t="s">
        <v>74</v>
      </c>
      <c r="G516">
        <v>528</v>
      </c>
      <c r="H516" t="s">
        <v>98</v>
      </c>
      <c r="I516" t="s">
        <v>99</v>
      </c>
      <c r="J516">
        <v>1386309600</v>
      </c>
      <c r="K516">
        <v>1386741600</v>
      </c>
      <c r="L516" t="b">
        <v>0</v>
      </c>
      <c r="M516" t="b">
        <v>1</v>
      </c>
      <c r="N516" t="s">
        <v>23</v>
      </c>
      <c r="O516" s="4">
        <f t="shared" si="24"/>
        <v>4.4565112617678242</v>
      </c>
      <c r="P516" t="str">
        <f t="shared" si="25"/>
        <v>music</v>
      </c>
      <c r="Q516" t="str">
        <f t="shared" si="26"/>
        <v>rock</v>
      </c>
    </row>
    <row r="517" spans="1:17" x14ac:dyDescent="0.3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t="s">
        <v>14</v>
      </c>
      <c r="G517">
        <v>133</v>
      </c>
      <c r="H517" t="s">
        <v>15</v>
      </c>
      <c r="I517" t="s">
        <v>16</v>
      </c>
      <c r="J517">
        <v>1324620000</v>
      </c>
      <c r="K517">
        <v>1324792800</v>
      </c>
      <c r="L517" t="b">
        <v>0</v>
      </c>
      <c r="M517" t="b">
        <v>1</v>
      </c>
      <c r="N517" t="s">
        <v>33</v>
      </c>
      <c r="O517" s="4">
        <f t="shared" si="24"/>
        <v>1.7927871586408173</v>
      </c>
      <c r="P517" t="str">
        <f t="shared" si="25"/>
        <v>theater</v>
      </c>
      <c r="Q517" t="str">
        <f t="shared" si="26"/>
        <v>plays</v>
      </c>
    </row>
    <row r="518" spans="1:17" x14ac:dyDescent="0.3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t="s">
        <v>14</v>
      </c>
      <c r="G518">
        <v>846</v>
      </c>
      <c r="H518" t="s">
        <v>21</v>
      </c>
      <c r="I518" t="s">
        <v>22</v>
      </c>
      <c r="J518">
        <v>1281070800</v>
      </c>
      <c r="K518">
        <v>1284354000</v>
      </c>
      <c r="L518" t="b">
        <v>0</v>
      </c>
      <c r="M518" t="b">
        <v>0</v>
      </c>
      <c r="N518" t="s">
        <v>68</v>
      </c>
      <c r="O518" s="4">
        <f t="shared" si="24"/>
        <v>2.3516615407696349</v>
      </c>
      <c r="P518" t="str">
        <f t="shared" si="25"/>
        <v>publishing</v>
      </c>
      <c r="Q518" t="str">
        <f t="shared" si="26"/>
        <v>nonfiction</v>
      </c>
    </row>
    <row r="519" spans="1:17" x14ac:dyDescent="0.3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t="s">
        <v>20</v>
      </c>
      <c r="G519">
        <v>78</v>
      </c>
      <c r="H519" t="s">
        <v>21</v>
      </c>
      <c r="I519" t="s">
        <v>22</v>
      </c>
      <c r="J519">
        <v>1493960400</v>
      </c>
      <c r="K519">
        <v>1494392400</v>
      </c>
      <c r="L519" t="b">
        <v>0</v>
      </c>
      <c r="M519" t="b">
        <v>0</v>
      </c>
      <c r="N519" t="s">
        <v>17</v>
      </c>
      <c r="O519" s="4">
        <f t="shared" si="24"/>
        <v>0.8928571428571429</v>
      </c>
      <c r="P519" t="str">
        <f t="shared" si="25"/>
        <v>food</v>
      </c>
      <c r="Q519" t="str">
        <f t="shared" si="26"/>
        <v>food trucks</v>
      </c>
    </row>
    <row r="520" spans="1:17" ht="31.2" x14ac:dyDescent="0.3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t="s">
        <v>14</v>
      </c>
      <c r="G520">
        <v>10</v>
      </c>
      <c r="H520" t="s">
        <v>21</v>
      </c>
      <c r="I520" t="s">
        <v>22</v>
      </c>
      <c r="J520">
        <v>1519365600</v>
      </c>
      <c r="K520">
        <v>1519538400</v>
      </c>
      <c r="L520" t="b">
        <v>0</v>
      </c>
      <c r="M520" t="b">
        <v>1</v>
      </c>
      <c r="N520" t="s">
        <v>71</v>
      </c>
      <c r="O520" s="4">
        <f t="shared" si="24"/>
        <v>14.14790996784566</v>
      </c>
      <c r="P520" t="str">
        <f t="shared" si="25"/>
        <v>film &amp; video</v>
      </c>
      <c r="Q520" t="str">
        <f t="shared" si="26"/>
        <v>animation</v>
      </c>
    </row>
    <row r="521" spans="1:17" x14ac:dyDescent="0.3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t="s">
        <v>20</v>
      </c>
      <c r="G521">
        <v>1773</v>
      </c>
      <c r="H521" t="s">
        <v>21</v>
      </c>
      <c r="I521" t="s">
        <v>22</v>
      </c>
      <c r="J521">
        <v>1420696800</v>
      </c>
      <c r="K521">
        <v>1421906400</v>
      </c>
      <c r="L521" t="b">
        <v>0</v>
      </c>
      <c r="M521" t="b">
        <v>1</v>
      </c>
      <c r="N521" t="s">
        <v>23</v>
      </c>
      <c r="O521" s="4">
        <f t="shared" si="24"/>
        <v>0.98284311014258696</v>
      </c>
      <c r="P521" t="str">
        <f t="shared" si="25"/>
        <v>music</v>
      </c>
      <c r="Q521" t="str">
        <f t="shared" si="26"/>
        <v>rock</v>
      </c>
    </row>
    <row r="522" spans="1:17" x14ac:dyDescent="0.3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t="s">
        <v>20</v>
      </c>
      <c r="G522">
        <v>32</v>
      </c>
      <c r="H522" t="s">
        <v>21</v>
      </c>
      <c r="I522" t="s">
        <v>22</v>
      </c>
      <c r="J522">
        <v>1555650000</v>
      </c>
      <c r="K522">
        <v>1555909200</v>
      </c>
      <c r="L522" t="b">
        <v>0</v>
      </c>
      <c r="M522" t="b">
        <v>0</v>
      </c>
      <c r="N522" t="s">
        <v>33</v>
      </c>
      <c r="O522" s="4">
        <f t="shared" si="24"/>
        <v>0.23487962419260131</v>
      </c>
      <c r="P522" t="str">
        <f t="shared" si="25"/>
        <v>theater</v>
      </c>
      <c r="Q522" t="str">
        <f t="shared" si="26"/>
        <v>plays</v>
      </c>
    </row>
    <row r="523" spans="1:17" x14ac:dyDescent="0.3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t="s">
        <v>20</v>
      </c>
      <c r="G523">
        <v>369</v>
      </c>
      <c r="H523" t="s">
        <v>21</v>
      </c>
      <c r="I523" t="s">
        <v>22</v>
      </c>
      <c r="J523">
        <v>1471928400</v>
      </c>
      <c r="K523">
        <v>1472446800</v>
      </c>
      <c r="L523" t="b">
        <v>0</v>
      </c>
      <c r="M523" t="b">
        <v>1</v>
      </c>
      <c r="N523" t="s">
        <v>53</v>
      </c>
      <c r="O523" s="4">
        <f t="shared" si="24"/>
        <v>0.68709881565862041</v>
      </c>
      <c r="P523" t="str">
        <f t="shared" si="25"/>
        <v>film &amp; video</v>
      </c>
      <c r="Q523" t="str">
        <f t="shared" si="26"/>
        <v>drama</v>
      </c>
    </row>
    <row r="524" spans="1:17" ht="31.2" x14ac:dyDescent="0.3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t="s">
        <v>14</v>
      </c>
      <c r="G524">
        <v>191</v>
      </c>
      <c r="H524" t="s">
        <v>21</v>
      </c>
      <c r="I524" t="s">
        <v>22</v>
      </c>
      <c r="J524">
        <v>1341291600</v>
      </c>
      <c r="K524">
        <v>1342328400</v>
      </c>
      <c r="L524" t="b">
        <v>0</v>
      </c>
      <c r="M524" t="b">
        <v>0</v>
      </c>
      <c r="N524" t="s">
        <v>100</v>
      </c>
      <c r="O524" s="4">
        <f t="shared" si="24"/>
        <v>3.081335041796327</v>
      </c>
      <c r="P524" t="str">
        <f t="shared" si="25"/>
        <v>film &amp; video</v>
      </c>
      <c r="Q524" t="str">
        <f t="shared" si="26"/>
        <v>shorts</v>
      </c>
    </row>
    <row r="525" spans="1:17" x14ac:dyDescent="0.3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t="s">
        <v>20</v>
      </c>
      <c r="G525">
        <v>89</v>
      </c>
      <c r="H525" t="s">
        <v>21</v>
      </c>
      <c r="I525" t="s">
        <v>22</v>
      </c>
      <c r="J525">
        <v>1267682400</v>
      </c>
      <c r="K525">
        <v>1268114400</v>
      </c>
      <c r="L525" t="b">
        <v>0</v>
      </c>
      <c r="M525" t="b">
        <v>0</v>
      </c>
      <c r="N525" t="s">
        <v>100</v>
      </c>
      <c r="O525" s="4">
        <f t="shared" si="24"/>
        <v>0.14278914802475012</v>
      </c>
      <c r="P525" t="str">
        <f t="shared" si="25"/>
        <v>film &amp; video</v>
      </c>
      <c r="Q525" t="str">
        <f t="shared" si="26"/>
        <v>shorts</v>
      </c>
    </row>
    <row r="526" spans="1:17" x14ac:dyDescent="0.3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t="s">
        <v>14</v>
      </c>
      <c r="G526">
        <v>1979</v>
      </c>
      <c r="H526" t="s">
        <v>21</v>
      </c>
      <c r="I526" t="s">
        <v>22</v>
      </c>
      <c r="J526">
        <v>1272258000</v>
      </c>
      <c r="K526">
        <v>1273381200</v>
      </c>
      <c r="L526" t="b">
        <v>0</v>
      </c>
      <c r="M526" t="b">
        <v>0</v>
      </c>
      <c r="N526" t="s">
        <v>33</v>
      </c>
      <c r="O526" s="4">
        <f t="shared" si="24"/>
        <v>1.1918260698087162</v>
      </c>
      <c r="P526" t="str">
        <f t="shared" si="25"/>
        <v>theater</v>
      </c>
      <c r="Q526" t="str">
        <f t="shared" si="26"/>
        <v>plays</v>
      </c>
    </row>
    <row r="527" spans="1:17" ht="31.2" x14ac:dyDescent="0.3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t="s">
        <v>14</v>
      </c>
      <c r="G527">
        <v>63</v>
      </c>
      <c r="H527" t="s">
        <v>21</v>
      </c>
      <c r="I527" t="s">
        <v>22</v>
      </c>
      <c r="J527">
        <v>1290492000</v>
      </c>
      <c r="K527">
        <v>1290837600</v>
      </c>
      <c r="L527" t="b">
        <v>0</v>
      </c>
      <c r="M527" t="b">
        <v>0</v>
      </c>
      <c r="N527" t="s">
        <v>65</v>
      </c>
      <c r="O527" s="4">
        <f t="shared" si="24"/>
        <v>1.1877828054298643</v>
      </c>
      <c r="P527" t="str">
        <f t="shared" si="25"/>
        <v>technology</v>
      </c>
      <c r="Q527" t="str">
        <f t="shared" si="26"/>
        <v>wearables</v>
      </c>
    </row>
    <row r="528" spans="1:17" ht="31.2" x14ac:dyDescent="0.3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t="s">
        <v>20</v>
      </c>
      <c r="G528">
        <v>147</v>
      </c>
      <c r="H528" t="s">
        <v>21</v>
      </c>
      <c r="I528" t="s">
        <v>22</v>
      </c>
      <c r="J528">
        <v>1451109600</v>
      </c>
      <c r="K528">
        <v>1454306400</v>
      </c>
      <c r="L528" t="b">
        <v>0</v>
      </c>
      <c r="M528" t="b">
        <v>1</v>
      </c>
      <c r="N528" t="s">
        <v>33</v>
      </c>
      <c r="O528" s="4">
        <f t="shared" si="24"/>
        <v>0.64122373300370827</v>
      </c>
      <c r="P528" t="str">
        <f t="shared" si="25"/>
        <v>theater</v>
      </c>
      <c r="Q528" t="str">
        <f t="shared" si="26"/>
        <v>plays</v>
      </c>
    </row>
    <row r="529" spans="1:17" x14ac:dyDescent="0.3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t="s">
        <v>14</v>
      </c>
      <c r="G529">
        <v>6080</v>
      </c>
      <c r="H529" t="s">
        <v>15</v>
      </c>
      <c r="I529" t="s">
        <v>16</v>
      </c>
      <c r="J529">
        <v>1454652000</v>
      </c>
      <c r="K529">
        <v>1457762400</v>
      </c>
      <c r="L529" t="b">
        <v>0</v>
      </c>
      <c r="M529" t="b">
        <v>0</v>
      </c>
      <c r="N529" t="s">
        <v>71</v>
      </c>
      <c r="O529" s="4">
        <f t="shared" si="24"/>
        <v>1.0038200339558574</v>
      </c>
      <c r="P529" t="str">
        <f t="shared" si="25"/>
        <v>film &amp; video</v>
      </c>
      <c r="Q529" t="str">
        <f t="shared" si="26"/>
        <v>animation</v>
      </c>
    </row>
    <row r="530" spans="1:17" x14ac:dyDescent="0.3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t="s">
        <v>14</v>
      </c>
      <c r="G530">
        <v>80</v>
      </c>
      <c r="H530" t="s">
        <v>40</v>
      </c>
      <c r="I530" t="s">
        <v>41</v>
      </c>
      <c r="J530">
        <v>1385186400</v>
      </c>
      <c r="K530">
        <v>1389074400</v>
      </c>
      <c r="L530" t="b">
        <v>0</v>
      </c>
      <c r="M530" t="b">
        <v>0</v>
      </c>
      <c r="N530" t="s">
        <v>60</v>
      </c>
      <c r="O530" s="4">
        <f t="shared" si="24"/>
        <v>1.2453300124533002</v>
      </c>
      <c r="P530" t="str">
        <f t="shared" si="25"/>
        <v>music</v>
      </c>
      <c r="Q530" t="str">
        <f t="shared" si="26"/>
        <v>indie rock</v>
      </c>
    </row>
    <row r="531" spans="1:17" x14ac:dyDescent="0.3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t="s">
        <v>14</v>
      </c>
      <c r="G531">
        <v>9</v>
      </c>
      <c r="H531" t="s">
        <v>21</v>
      </c>
      <c r="I531" t="s">
        <v>22</v>
      </c>
      <c r="J531">
        <v>1399698000</v>
      </c>
      <c r="K531">
        <v>1402117200</v>
      </c>
      <c r="L531" t="b">
        <v>0</v>
      </c>
      <c r="M531" t="b">
        <v>0</v>
      </c>
      <c r="N531" t="s">
        <v>89</v>
      </c>
      <c r="O531" s="4">
        <f t="shared" si="24"/>
        <v>8.8850174216027877</v>
      </c>
      <c r="P531" t="str">
        <f t="shared" si="25"/>
        <v>games</v>
      </c>
      <c r="Q531" t="str">
        <f t="shared" si="26"/>
        <v>video games</v>
      </c>
    </row>
    <row r="532" spans="1:17" ht="31.2" x14ac:dyDescent="0.3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t="s">
        <v>14</v>
      </c>
      <c r="G532">
        <v>1784</v>
      </c>
      <c r="H532" t="s">
        <v>21</v>
      </c>
      <c r="I532" t="s">
        <v>22</v>
      </c>
      <c r="J532">
        <v>1283230800</v>
      </c>
      <c r="K532">
        <v>1284440400</v>
      </c>
      <c r="L532" t="b">
        <v>0</v>
      </c>
      <c r="M532" t="b">
        <v>1</v>
      </c>
      <c r="N532" t="s">
        <v>119</v>
      </c>
      <c r="O532" s="4">
        <f t="shared" si="24"/>
        <v>1.090025745369986</v>
      </c>
      <c r="P532" t="str">
        <f t="shared" si="25"/>
        <v>publishing</v>
      </c>
      <c r="Q532" t="str">
        <f t="shared" si="26"/>
        <v>fiction</v>
      </c>
    </row>
    <row r="533" spans="1:17" ht="31.2" x14ac:dyDescent="0.3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t="s">
        <v>47</v>
      </c>
      <c r="G533">
        <v>3640</v>
      </c>
      <c r="H533" t="s">
        <v>98</v>
      </c>
      <c r="I533" t="s">
        <v>99</v>
      </c>
      <c r="J533">
        <v>1384149600</v>
      </c>
      <c r="K533">
        <v>1388988000</v>
      </c>
      <c r="L533" t="b">
        <v>0</v>
      </c>
      <c r="M533" t="b">
        <v>0</v>
      </c>
      <c r="N533" t="s">
        <v>89</v>
      </c>
      <c r="O533" s="4">
        <f t="shared" si="24"/>
        <v>1.0468884926375759</v>
      </c>
      <c r="P533" t="str">
        <f t="shared" si="25"/>
        <v>games</v>
      </c>
      <c r="Q533" t="str">
        <f t="shared" si="26"/>
        <v>video games</v>
      </c>
    </row>
    <row r="534" spans="1:17" x14ac:dyDescent="0.3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t="s">
        <v>20</v>
      </c>
      <c r="G534">
        <v>126</v>
      </c>
      <c r="H534" t="s">
        <v>15</v>
      </c>
      <c r="I534" t="s">
        <v>16</v>
      </c>
      <c r="J534">
        <v>1516860000</v>
      </c>
      <c r="K534">
        <v>1516946400</v>
      </c>
      <c r="L534" t="b">
        <v>0</v>
      </c>
      <c r="M534" t="b">
        <v>0</v>
      </c>
      <c r="N534" t="s">
        <v>33</v>
      </c>
      <c r="O534" s="4">
        <f t="shared" si="24"/>
        <v>0.19885657469550086</v>
      </c>
      <c r="P534" t="str">
        <f t="shared" si="25"/>
        <v>theater</v>
      </c>
      <c r="Q534" t="str">
        <f t="shared" si="26"/>
        <v>plays</v>
      </c>
    </row>
    <row r="535" spans="1:17" x14ac:dyDescent="0.3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t="s">
        <v>20</v>
      </c>
      <c r="G535">
        <v>2218</v>
      </c>
      <c r="H535" t="s">
        <v>40</v>
      </c>
      <c r="I535" t="s">
        <v>41</v>
      </c>
      <c r="J535">
        <v>1374642000</v>
      </c>
      <c r="K535">
        <v>1377752400</v>
      </c>
      <c r="L535" t="b">
        <v>0</v>
      </c>
      <c r="M535" t="b">
        <v>0</v>
      </c>
      <c r="N535" t="s">
        <v>60</v>
      </c>
      <c r="O535" s="4">
        <f t="shared" si="24"/>
        <v>0.62796736308029943</v>
      </c>
      <c r="P535" t="str">
        <f t="shared" si="25"/>
        <v>music</v>
      </c>
      <c r="Q535" t="str">
        <f t="shared" si="26"/>
        <v>indie rock</v>
      </c>
    </row>
    <row r="536" spans="1:17" x14ac:dyDescent="0.3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t="s">
        <v>14</v>
      </c>
      <c r="G536">
        <v>243</v>
      </c>
      <c r="H536" t="s">
        <v>21</v>
      </c>
      <c r="I536" t="s">
        <v>22</v>
      </c>
      <c r="J536">
        <v>1534482000</v>
      </c>
      <c r="K536">
        <v>1534568400</v>
      </c>
      <c r="L536" t="b">
        <v>0</v>
      </c>
      <c r="M536" t="b">
        <v>1</v>
      </c>
      <c r="N536" t="s">
        <v>53</v>
      </c>
      <c r="O536" s="4">
        <f t="shared" si="24"/>
        <v>6.6567052670900262</v>
      </c>
      <c r="P536" t="str">
        <f t="shared" si="25"/>
        <v>film &amp; video</v>
      </c>
      <c r="Q536" t="str">
        <f t="shared" si="26"/>
        <v>drama</v>
      </c>
    </row>
    <row r="537" spans="1:17" x14ac:dyDescent="0.3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t="s">
        <v>20</v>
      </c>
      <c r="G537">
        <v>202</v>
      </c>
      <c r="H537" t="s">
        <v>107</v>
      </c>
      <c r="I537" t="s">
        <v>108</v>
      </c>
      <c r="J537">
        <v>1528434000</v>
      </c>
      <c r="K537">
        <v>1528606800</v>
      </c>
      <c r="L537" t="b">
        <v>0</v>
      </c>
      <c r="M537" t="b">
        <v>1</v>
      </c>
      <c r="N537" t="s">
        <v>33</v>
      </c>
      <c r="O537" s="4">
        <f t="shared" si="24"/>
        <v>0.20745232585973031</v>
      </c>
      <c r="P537" t="str">
        <f t="shared" si="25"/>
        <v>theater</v>
      </c>
      <c r="Q537" t="str">
        <f t="shared" si="26"/>
        <v>plays</v>
      </c>
    </row>
    <row r="538" spans="1:17" x14ac:dyDescent="0.3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t="s">
        <v>20</v>
      </c>
      <c r="G538">
        <v>140</v>
      </c>
      <c r="H538" t="s">
        <v>107</v>
      </c>
      <c r="I538" t="s">
        <v>108</v>
      </c>
      <c r="J538">
        <v>1282626000</v>
      </c>
      <c r="K538">
        <v>1284872400</v>
      </c>
      <c r="L538" t="b">
        <v>0</v>
      </c>
      <c r="M538" t="b">
        <v>0</v>
      </c>
      <c r="N538" t="s">
        <v>119</v>
      </c>
      <c r="O538" s="4">
        <f t="shared" si="24"/>
        <v>0.66680274886031166</v>
      </c>
      <c r="P538" t="str">
        <f t="shared" si="25"/>
        <v>publishing</v>
      </c>
      <c r="Q538" t="str">
        <f t="shared" si="26"/>
        <v>fiction</v>
      </c>
    </row>
    <row r="539" spans="1:17" x14ac:dyDescent="0.3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t="s">
        <v>20</v>
      </c>
      <c r="G539">
        <v>1052</v>
      </c>
      <c r="H539" t="s">
        <v>36</v>
      </c>
      <c r="I539" t="s">
        <v>37</v>
      </c>
      <c r="J539">
        <v>1535605200</v>
      </c>
      <c r="K539">
        <v>1537592400</v>
      </c>
      <c r="L539" t="b">
        <v>1</v>
      </c>
      <c r="M539" t="b">
        <v>1</v>
      </c>
      <c r="N539" t="s">
        <v>42</v>
      </c>
      <c r="O539" s="4">
        <f t="shared" si="24"/>
        <v>0.85308535907413963</v>
      </c>
      <c r="P539" t="str">
        <f t="shared" si="25"/>
        <v>film &amp; video</v>
      </c>
      <c r="Q539" t="str">
        <f t="shared" si="26"/>
        <v>documentary</v>
      </c>
    </row>
    <row r="540" spans="1:17" x14ac:dyDescent="0.3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t="s">
        <v>14</v>
      </c>
      <c r="G540">
        <v>1296</v>
      </c>
      <c r="H540" t="s">
        <v>21</v>
      </c>
      <c r="I540" t="s">
        <v>22</v>
      </c>
      <c r="J540">
        <v>1379826000</v>
      </c>
      <c r="K540">
        <v>1381208400</v>
      </c>
      <c r="L540" t="b">
        <v>0</v>
      </c>
      <c r="M540" t="b">
        <v>0</v>
      </c>
      <c r="N540" t="s">
        <v>292</v>
      </c>
      <c r="O540" s="4">
        <f t="shared" si="24"/>
        <v>2.6528035908405512</v>
      </c>
      <c r="P540" t="str">
        <f t="shared" si="25"/>
        <v>games</v>
      </c>
      <c r="Q540" t="str">
        <f t="shared" si="26"/>
        <v>mobile games</v>
      </c>
    </row>
    <row r="541" spans="1:17" x14ac:dyDescent="0.3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t="s">
        <v>14</v>
      </c>
      <c r="G541">
        <v>77</v>
      </c>
      <c r="H541" t="s">
        <v>21</v>
      </c>
      <c r="I541" t="s">
        <v>22</v>
      </c>
      <c r="J541">
        <v>1561957200</v>
      </c>
      <c r="K541">
        <v>1562475600</v>
      </c>
      <c r="L541" t="b">
        <v>0</v>
      </c>
      <c r="M541" t="b">
        <v>1</v>
      </c>
      <c r="N541" t="s">
        <v>17</v>
      </c>
      <c r="O541" s="4">
        <f t="shared" si="24"/>
        <v>1.3764044943820224</v>
      </c>
      <c r="P541" t="str">
        <f t="shared" si="25"/>
        <v>food</v>
      </c>
      <c r="Q541" t="str">
        <f t="shared" si="26"/>
        <v>food trucks</v>
      </c>
    </row>
    <row r="542" spans="1:17" x14ac:dyDescent="0.3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t="s">
        <v>20</v>
      </c>
      <c r="G542">
        <v>247</v>
      </c>
      <c r="H542" t="s">
        <v>21</v>
      </c>
      <c r="I542" t="s">
        <v>22</v>
      </c>
      <c r="J542">
        <v>1525496400</v>
      </c>
      <c r="K542">
        <v>1527397200</v>
      </c>
      <c r="L542" t="b">
        <v>0</v>
      </c>
      <c r="M542" t="b">
        <v>0</v>
      </c>
      <c r="N542" t="s">
        <v>122</v>
      </c>
      <c r="O542" s="4">
        <f t="shared" si="24"/>
        <v>0.37596651769880118</v>
      </c>
      <c r="P542" t="str">
        <f t="shared" si="25"/>
        <v>photography</v>
      </c>
      <c r="Q542" t="str">
        <f t="shared" si="26"/>
        <v>photography books</v>
      </c>
    </row>
    <row r="543" spans="1:17" x14ac:dyDescent="0.3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t="s">
        <v>14</v>
      </c>
      <c r="G543">
        <v>395</v>
      </c>
      <c r="H543" t="s">
        <v>107</v>
      </c>
      <c r="I543" t="s">
        <v>108</v>
      </c>
      <c r="J543">
        <v>1433912400</v>
      </c>
      <c r="K543">
        <v>1436158800</v>
      </c>
      <c r="L543" t="b">
        <v>0</v>
      </c>
      <c r="M543" t="b">
        <v>0</v>
      </c>
      <c r="N543" t="s">
        <v>292</v>
      </c>
      <c r="O543" s="4">
        <f t="shared" si="24"/>
        <v>4.1312723390428445</v>
      </c>
      <c r="P543" t="str">
        <f t="shared" si="25"/>
        <v>games</v>
      </c>
      <c r="Q543" t="str">
        <f t="shared" si="26"/>
        <v>mobile games</v>
      </c>
    </row>
    <row r="544" spans="1:17" x14ac:dyDescent="0.3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t="s">
        <v>14</v>
      </c>
      <c r="G544">
        <v>49</v>
      </c>
      <c r="H544" t="s">
        <v>40</v>
      </c>
      <c r="I544" t="s">
        <v>41</v>
      </c>
      <c r="J544">
        <v>1453442400</v>
      </c>
      <c r="K544">
        <v>1456034400</v>
      </c>
      <c r="L544" t="b">
        <v>0</v>
      </c>
      <c r="M544" t="b">
        <v>0</v>
      </c>
      <c r="N544" t="s">
        <v>60</v>
      </c>
      <c r="O544" s="4">
        <f t="shared" si="24"/>
        <v>39.896373056994818</v>
      </c>
      <c r="P544" t="str">
        <f t="shared" si="25"/>
        <v>music</v>
      </c>
      <c r="Q544" t="str">
        <f t="shared" si="26"/>
        <v>indie rock</v>
      </c>
    </row>
    <row r="545" spans="1:17" x14ac:dyDescent="0.3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t="s">
        <v>14</v>
      </c>
      <c r="G545">
        <v>180</v>
      </c>
      <c r="H545" t="s">
        <v>21</v>
      </c>
      <c r="I545" t="s">
        <v>22</v>
      </c>
      <c r="J545">
        <v>1378875600</v>
      </c>
      <c r="K545">
        <v>1380171600</v>
      </c>
      <c r="L545" t="b">
        <v>0</v>
      </c>
      <c r="M545" t="b">
        <v>0</v>
      </c>
      <c r="N545" t="s">
        <v>89</v>
      </c>
      <c r="O545" s="4">
        <f t="shared" si="24"/>
        <v>6.1237738026543562</v>
      </c>
      <c r="P545" t="str">
        <f t="shared" si="25"/>
        <v>games</v>
      </c>
      <c r="Q545" t="str">
        <f t="shared" si="26"/>
        <v>video games</v>
      </c>
    </row>
    <row r="546" spans="1:17" ht="31.2" x14ac:dyDescent="0.3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t="s">
        <v>20</v>
      </c>
      <c r="G546">
        <v>84</v>
      </c>
      <c r="H546" t="s">
        <v>21</v>
      </c>
      <c r="I546" t="s">
        <v>22</v>
      </c>
      <c r="J546">
        <v>1452232800</v>
      </c>
      <c r="K546">
        <v>1453356000</v>
      </c>
      <c r="L546" t="b">
        <v>0</v>
      </c>
      <c r="M546" t="b">
        <v>0</v>
      </c>
      <c r="N546" t="s">
        <v>23</v>
      </c>
      <c r="O546" s="4">
        <f t="shared" si="24"/>
        <v>0.36166365280289331</v>
      </c>
      <c r="P546" t="str">
        <f t="shared" si="25"/>
        <v>music</v>
      </c>
      <c r="Q546" t="str">
        <f t="shared" si="26"/>
        <v>rock</v>
      </c>
    </row>
    <row r="547" spans="1:17" x14ac:dyDescent="0.3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t="s">
        <v>14</v>
      </c>
      <c r="G547">
        <v>2690</v>
      </c>
      <c r="H547" t="s">
        <v>21</v>
      </c>
      <c r="I547" t="s">
        <v>22</v>
      </c>
      <c r="J547">
        <v>1577253600</v>
      </c>
      <c r="K547">
        <v>1578981600</v>
      </c>
      <c r="L547" t="b">
        <v>0</v>
      </c>
      <c r="M547" t="b">
        <v>0</v>
      </c>
      <c r="N547" t="s">
        <v>33</v>
      </c>
      <c r="O547" s="4">
        <f t="shared" si="24"/>
        <v>1.1260808365171928</v>
      </c>
      <c r="P547" t="str">
        <f t="shared" si="25"/>
        <v>theater</v>
      </c>
      <c r="Q547" t="str">
        <f t="shared" si="26"/>
        <v>plays</v>
      </c>
    </row>
    <row r="548" spans="1:17" ht="31.2" x14ac:dyDescent="0.3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t="s">
        <v>20</v>
      </c>
      <c r="G548">
        <v>88</v>
      </c>
      <c r="H548" t="s">
        <v>21</v>
      </c>
      <c r="I548" t="s">
        <v>22</v>
      </c>
      <c r="J548">
        <v>1537160400</v>
      </c>
      <c r="K548">
        <v>1537419600</v>
      </c>
      <c r="L548" t="b">
        <v>0</v>
      </c>
      <c r="M548" t="b">
        <v>1</v>
      </c>
      <c r="N548" t="s">
        <v>33</v>
      </c>
      <c r="O548" s="4">
        <f t="shared" si="24"/>
        <v>0.611353711790393</v>
      </c>
      <c r="P548" t="str">
        <f t="shared" si="25"/>
        <v>theater</v>
      </c>
      <c r="Q548" t="str">
        <f t="shared" si="26"/>
        <v>plays</v>
      </c>
    </row>
    <row r="549" spans="1:17" x14ac:dyDescent="0.3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t="s">
        <v>20</v>
      </c>
      <c r="G549">
        <v>156</v>
      </c>
      <c r="H549" t="s">
        <v>21</v>
      </c>
      <c r="I549" t="s">
        <v>22</v>
      </c>
      <c r="J549">
        <v>1422165600</v>
      </c>
      <c r="K549">
        <v>1423202400</v>
      </c>
      <c r="L549" t="b">
        <v>0</v>
      </c>
      <c r="M549" t="b">
        <v>0</v>
      </c>
      <c r="N549" t="s">
        <v>53</v>
      </c>
      <c r="O549" s="4">
        <f t="shared" si="24"/>
        <v>0.10319917440660474</v>
      </c>
      <c r="P549" t="str">
        <f t="shared" si="25"/>
        <v>film &amp; video</v>
      </c>
      <c r="Q549" t="str">
        <f t="shared" si="26"/>
        <v>drama</v>
      </c>
    </row>
    <row r="550" spans="1:17" x14ac:dyDescent="0.3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t="s">
        <v>20</v>
      </c>
      <c r="G550">
        <v>2985</v>
      </c>
      <c r="H550" t="s">
        <v>21</v>
      </c>
      <c r="I550" t="s">
        <v>22</v>
      </c>
      <c r="J550">
        <v>1459486800</v>
      </c>
      <c r="K550">
        <v>1460610000</v>
      </c>
      <c r="L550" t="b">
        <v>0</v>
      </c>
      <c r="M550" t="b">
        <v>0</v>
      </c>
      <c r="N550" t="s">
        <v>33</v>
      </c>
      <c r="O550" s="4">
        <f t="shared" si="24"/>
        <v>0.36912114544825042</v>
      </c>
      <c r="P550" t="str">
        <f t="shared" si="25"/>
        <v>theater</v>
      </c>
      <c r="Q550" t="str">
        <f t="shared" si="26"/>
        <v>plays</v>
      </c>
    </row>
    <row r="551" spans="1:17" ht="31.2" x14ac:dyDescent="0.3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t="s">
        <v>20</v>
      </c>
      <c r="G551">
        <v>762</v>
      </c>
      <c r="H551" t="s">
        <v>21</v>
      </c>
      <c r="I551" t="s">
        <v>22</v>
      </c>
      <c r="J551">
        <v>1369717200</v>
      </c>
      <c r="K551">
        <v>1370494800</v>
      </c>
      <c r="L551" t="b">
        <v>0</v>
      </c>
      <c r="M551" t="b">
        <v>0</v>
      </c>
      <c r="N551" t="s">
        <v>65</v>
      </c>
      <c r="O551" s="4">
        <f t="shared" si="24"/>
        <v>0.35184809703851244</v>
      </c>
      <c r="P551" t="str">
        <f t="shared" si="25"/>
        <v>technology</v>
      </c>
      <c r="Q551" t="str">
        <f t="shared" si="26"/>
        <v>wearables</v>
      </c>
    </row>
    <row r="552" spans="1:17" ht="31.2" x14ac:dyDescent="0.3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t="s">
        <v>74</v>
      </c>
      <c r="G552">
        <v>1</v>
      </c>
      <c r="H552" t="s">
        <v>98</v>
      </c>
      <c r="I552" t="s">
        <v>99</v>
      </c>
      <c r="J552">
        <v>1330495200</v>
      </c>
      <c r="K552">
        <v>1332306000</v>
      </c>
      <c r="L552" t="b">
        <v>0</v>
      </c>
      <c r="M552" t="b">
        <v>0</v>
      </c>
      <c r="N552" t="s">
        <v>60</v>
      </c>
      <c r="O552" s="4">
        <f t="shared" si="24"/>
        <v>25</v>
      </c>
      <c r="P552" t="str">
        <f t="shared" si="25"/>
        <v>music</v>
      </c>
      <c r="Q552" t="str">
        <f t="shared" si="26"/>
        <v>indie rock</v>
      </c>
    </row>
    <row r="553" spans="1:17" ht="31.2" x14ac:dyDescent="0.3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t="s">
        <v>14</v>
      </c>
      <c r="G553">
        <v>2779</v>
      </c>
      <c r="H553" t="s">
        <v>26</v>
      </c>
      <c r="I553" t="s">
        <v>27</v>
      </c>
      <c r="J553">
        <v>1419055200</v>
      </c>
      <c r="K553">
        <v>1422511200</v>
      </c>
      <c r="L553" t="b">
        <v>0</v>
      </c>
      <c r="M553" t="b">
        <v>1</v>
      </c>
      <c r="N553" t="s">
        <v>28</v>
      </c>
      <c r="O553" s="4">
        <f t="shared" si="24"/>
        <v>1.7055247258470805</v>
      </c>
      <c r="P553" t="str">
        <f t="shared" si="25"/>
        <v>technology</v>
      </c>
      <c r="Q553" t="str">
        <f t="shared" si="26"/>
        <v>web</v>
      </c>
    </row>
    <row r="554" spans="1:17" x14ac:dyDescent="0.3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t="s">
        <v>14</v>
      </c>
      <c r="G554">
        <v>92</v>
      </c>
      <c r="H554" t="s">
        <v>21</v>
      </c>
      <c r="I554" t="s">
        <v>22</v>
      </c>
      <c r="J554">
        <v>1480140000</v>
      </c>
      <c r="K554">
        <v>1480312800</v>
      </c>
      <c r="L554" t="b">
        <v>0</v>
      </c>
      <c r="M554" t="b">
        <v>0</v>
      </c>
      <c r="N554" t="s">
        <v>33</v>
      </c>
      <c r="O554" s="4">
        <f t="shared" si="24"/>
        <v>1.0151139183397249</v>
      </c>
      <c r="P554" t="str">
        <f t="shared" si="25"/>
        <v>theater</v>
      </c>
      <c r="Q554" t="str">
        <f t="shared" si="26"/>
        <v>plays</v>
      </c>
    </row>
    <row r="555" spans="1:17" ht="31.2" x14ac:dyDescent="0.3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t="s">
        <v>14</v>
      </c>
      <c r="G555">
        <v>1028</v>
      </c>
      <c r="H555" t="s">
        <v>21</v>
      </c>
      <c r="I555" t="s">
        <v>22</v>
      </c>
      <c r="J555">
        <v>1293948000</v>
      </c>
      <c r="K555">
        <v>1294034400</v>
      </c>
      <c r="L555" t="b">
        <v>0</v>
      </c>
      <c r="M555" t="b">
        <v>0</v>
      </c>
      <c r="N555" t="s">
        <v>23</v>
      </c>
      <c r="O555" s="4">
        <f t="shared" si="24"/>
        <v>2.2739996267761455</v>
      </c>
      <c r="P555" t="str">
        <f t="shared" si="25"/>
        <v>music</v>
      </c>
      <c r="Q555" t="str">
        <f t="shared" si="26"/>
        <v>rock</v>
      </c>
    </row>
    <row r="556" spans="1:17" ht="31.2" x14ac:dyDescent="0.3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t="s">
        <v>20</v>
      </c>
      <c r="G556">
        <v>554</v>
      </c>
      <c r="H556" t="s">
        <v>15</v>
      </c>
      <c r="I556" t="s">
        <v>16</v>
      </c>
      <c r="J556">
        <v>1482127200</v>
      </c>
      <c r="K556">
        <v>1482645600</v>
      </c>
      <c r="L556" t="b">
        <v>0</v>
      </c>
      <c r="M556" t="b">
        <v>0</v>
      </c>
      <c r="N556" t="s">
        <v>60</v>
      </c>
      <c r="O556" s="4">
        <f t="shared" si="24"/>
        <v>0.65935591338145472</v>
      </c>
      <c r="P556" t="str">
        <f t="shared" si="25"/>
        <v>music</v>
      </c>
      <c r="Q556" t="str">
        <f t="shared" si="26"/>
        <v>indie rock</v>
      </c>
    </row>
    <row r="557" spans="1:17" x14ac:dyDescent="0.3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t="s">
        <v>20</v>
      </c>
      <c r="G557">
        <v>135</v>
      </c>
      <c r="H557" t="s">
        <v>36</v>
      </c>
      <c r="I557" t="s">
        <v>37</v>
      </c>
      <c r="J557">
        <v>1396414800</v>
      </c>
      <c r="K557">
        <v>1399093200</v>
      </c>
      <c r="L557" t="b">
        <v>0</v>
      </c>
      <c r="M557" t="b">
        <v>0</v>
      </c>
      <c r="N557" t="s">
        <v>23</v>
      </c>
      <c r="O557" s="4">
        <f t="shared" si="24"/>
        <v>0.44715735680317981</v>
      </c>
      <c r="P557" t="str">
        <f t="shared" si="25"/>
        <v>music</v>
      </c>
      <c r="Q557" t="str">
        <f t="shared" si="26"/>
        <v>rock</v>
      </c>
    </row>
    <row r="558" spans="1:17" x14ac:dyDescent="0.3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t="s">
        <v>20</v>
      </c>
      <c r="G558">
        <v>122</v>
      </c>
      <c r="H558" t="s">
        <v>21</v>
      </c>
      <c r="I558" t="s">
        <v>22</v>
      </c>
      <c r="J558">
        <v>1315285200</v>
      </c>
      <c r="K558">
        <v>1315890000</v>
      </c>
      <c r="L558" t="b">
        <v>0</v>
      </c>
      <c r="M558" t="b">
        <v>1</v>
      </c>
      <c r="N558" t="s">
        <v>206</v>
      </c>
      <c r="O558" s="4">
        <f t="shared" si="24"/>
        <v>0.41710114702815432</v>
      </c>
      <c r="P558" t="str">
        <f t="shared" si="25"/>
        <v>publishing</v>
      </c>
      <c r="Q558" t="str">
        <f t="shared" si="26"/>
        <v>translations</v>
      </c>
    </row>
    <row r="559" spans="1:17" x14ac:dyDescent="0.3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t="s">
        <v>20</v>
      </c>
      <c r="G559">
        <v>221</v>
      </c>
      <c r="H559" t="s">
        <v>21</v>
      </c>
      <c r="I559" t="s">
        <v>22</v>
      </c>
      <c r="J559">
        <v>1443762000</v>
      </c>
      <c r="K559">
        <v>1444021200</v>
      </c>
      <c r="L559" t="b">
        <v>0</v>
      </c>
      <c r="M559" t="b">
        <v>1</v>
      </c>
      <c r="N559" t="s">
        <v>474</v>
      </c>
      <c r="O559" s="4">
        <f t="shared" si="24"/>
        <v>0.50167224080267558</v>
      </c>
      <c r="P559" t="str">
        <f t="shared" si="25"/>
        <v>film &amp; video</v>
      </c>
      <c r="Q559" t="str">
        <f t="shared" si="26"/>
        <v>science fiction</v>
      </c>
    </row>
    <row r="560" spans="1:17" x14ac:dyDescent="0.3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t="s">
        <v>20</v>
      </c>
      <c r="G560">
        <v>126</v>
      </c>
      <c r="H560" t="s">
        <v>21</v>
      </c>
      <c r="I560" t="s">
        <v>22</v>
      </c>
      <c r="J560">
        <v>1456293600</v>
      </c>
      <c r="K560">
        <v>1460005200</v>
      </c>
      <c r="L560" t="b">
        <v>0</v>
      </c>
      <c r="M560" t="b">
        <v>0</v>
      </c>
      <c r="N560" t="s">
        <v>33</v>
      </c>
      <c r="O560" s="4">
        <f t="shared" si="24"/>
        <v>0.72809440120512181</v>
      </c>
      <c r="P560" t="str">
        <f t="shared" si="25"/>
        <v>theater</v>
      </c>
      <c r="Q560" t="str">
        <f t="shared" si="26"/>
        <v>plays</v>
      </c>
    </row>
    <row r="561" spans="1:17" x14ac:dyDescent="0.3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t="s">
        <v>20</v>
      </c>
      <c r="G561">
        <v>1022</v>
      </c>
      <c r="H561" t="s">
        <v>21</v>
      </c>
      <c r="I561" t="s">
        <v>22</v>
      </c>
      <c r="J561">
        <v>1470114000</v>
      </c>
      <c r="K561">
        <v>1470718800</v>
      </c>
      <c r="L561" t="b">
        <v>0</v>
      </c>
      <c r="M561" t="b">
        <v>0</v>
      </c>
      <c r="N561" t="s">
        <v>33</v>
      </c>
      <c r="O561" s="4">
        <f t="shared" si="24"/>
        <v>0.99039700529528507</v>
      </c>
      <c r="P561" t="str">
        <f t="shared" si="25"/>
        <v>theater</v>
      </c>
      <c r="Q561" t="str">
        <f t="shared" si="26"/>
        <v>plays</v>
      </c>
    </row>
    <row r="562" spans="1:17" x14ac:dyDescent="0.3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t="s">
        <v>20</v>
      </c>
      <c r="G562">
        <v>3177</v>
      </c>
      <c r="H562" t="s">
        <v>21</v>
      </c>
      <c r="I562" t="s">
        <v>22</v>
      </c>
      <c r="J562">
        <v>1321596000</v>
      </c>
      <c r="K562">
        <v>1325052000</v>
      </c>
      <c r="L562" t="b">
        <v>0</v>
      </c>
      <c r="M562" t="b">
        <v>0</v>
      </c>
      <c r="N562" t="s">
        <v>71</v>
      </c>
      <c r="O562" s="4">
        <f t="shared" si="24"/>
        <v>0.12591921023471342</v>
      </c>
      <c r="P562" t="str">
        <f t="shared" si="25"/>
        <v>film &amp; video</v>
      </c>
      <c r="Q562" t="str">
        <f t="shared" si="26"/>
        <v>animation</v>
      </c>
    </row>
    <row r="563" spans="1:17" x14ac:dyDescent="0.3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t="s">
        <v>20</v>
      </c>
      <c r="G563">
        <v>198</v>
      </c>
      <c r="H563" t="s">
        <v>98</v>
      </c>
      <c r="I563" t="s">
        <v>99</v>
      </c>
      <c r="J563">
        <v>1318827600</v>
      </c>
      <c r="K563">
        <v>1319000400</v>
      </c>
      <c r="L563" t="b">
        <v>0</v>
      </c>
      <c r="M563" t="b">
        <v>0</v>
      </c>
      <c r="N563" t="s">
        <v>33</v>
      </c>
      <c r="O563" s="4">
        <f t="shared" si="24"/>
        <v>0.27048958615093321</v>
      </c>
      <c r="P563" t="str">
        <f t="shared" si="25"/>
        <v>theater</v>
      </c>
      <c r="Q563" t="str">
        <f t="shared" si="26"/>
        <v>plays</v>
      </c>
    </row>
    <row r="564" spans="1:17" ht="31.2" x14ac:dyDescent="0.3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t="s">
        <v>14</v>
      </c>
      <c r="G564">
        <v>26</v>
      </c>
      <c r="H564" t="s">
        <v>98</v>
      </c>
      <c r="I564" t="s">
        <v>99</v>
      </c>
      <c r="J564">
        <v>1552366800</v>
      </c>
      <c r="K564">
        <v>1552539600</v>
      </c>
      <c r="L564" t="b">
        <v>0</v>
      </c>
      <c r="M564" t="b">
        <v>0</v>
      </c>
      <c r="N564" t="s">
        <v>23</v>
      </c>
      <c r="O564" s="4">
        <f t="shared" si="24"/>
        <v>7.8014184397163122</v>
      </c>
      <c r="P564" t="str">
        <f t="shared" si="25"/>
        <v>music</v>
      </c>
      <c r="Q564" t="str">
        <f t="shared" si="26"/>
        <v>rock</v>
      </c>
    </row>
    <row r="565" spans="1:17" x14ac:dyDescent="0.3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t="s">
        <v>20</v>
      </c>
      <c r="G565">
        <v>85</v>
      </c>
      <c r="H565" t="s">
        <v>26</v>
      </c>
      <c r="I565" t="s">
        <v>27</v>
      </c>
      <c r="J565">
        <v>1542088800</v>
      </c>
      <c r="K565">
        <v>1543816800</v>
      </c>
      <c r="L565" t="b">
        <v>0</v>
      </c>
      <c r="M565" t="b">
        <v>0</v>
      </c>
      <c r="N565" t="s">
        <v>42</v>
      </c>
      <c r="O565" s="4">
        <f t="shared" si="24"/>
        <v>0.72449579009203058</v>
      </c>
      <c r="P565" t="str">
        <f t="shared" si="25"/>
        <v>film &amp; video</v>
      </c>
      <c r="Q565" t="str">
        <f t="shared" si="26"/>
        <v>documentary</v>
      </c>
    </row>
    <row r="566" spans="1:17" x14ac:dyDescent="0.3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t="s">
        <v>14</v>
      </c>
      <c r="G566">
        <v>1790</v>
      </c>
      <c r="H566" t="s">
        <v>21</v>
      </c>
      <c r="I566" t="s">
        <v>22</v>
      </c>
      <c r="J566">
        <v>1426395600</v>
      </c>
      <c r="K566">
        <v>1427086800</v>
      </c>
      <c r="L566" t="b">
        <v>0</v>
      </c>
      <c r="M566" t="b">
        <v>0</v>
      </c>
      <c r="N566" t="s">
        <v>33</v>
      </c>
      <c r="O566" s="4">
        <f t="shared" si="24"/>
        <v>1.1931283726917175</v>
      </c>
      <c r="P566" t="str">
        <f t="shared" si="25"/>
        <v>theater</v>
      </c>
      <c r="Q566" t="str">
        <f t="shared" si="26"/>
        <v>plays</v>
      </c>
    </row>
    <row r="567" spans="1:17" x14ac:dyDescent="0.3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t="s">
        <v>20</v>
      </c>
      <c r="G567">
        <v>3596</v>
      </c>
      <c r="H567" t="s">
        <v>21</v>
      </c>
      <c r="I567" t="s">
        <v>22</v>
      </c>
      <c r="J567">
        <v>1321336800</v>
      </c>
      <c r="K567">
        <v>1323064800</v>
      </c>
      <c r="L567" t="b">
        <v>0</v>
      </c>
      <c r="M567" t="b">
        <v>0</v>
      </c>
      <c r="N567" t="s">
        <v>33</v>
      </c>
      <c r="O567" s="4">
        <f t="shared" si="24"/>
        <v>0.48875704294263672</v>
      </c>
      <c r="P567" t="str">
        <f t="shared" si="25"/>
        <v>theater</v>
      </c>
      <c r="Q567" t="str">
        <f t="shared" si="26"/>
        <v>plays</v>
      </c>
    </row>
    <row r="568" spans="1:17" x14ac:dyDescent="0.3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t="s">
        <v>14</v>
      </c>
      <c r="G568">
        <v>37</v>
      </c>
      <c r="H568" t="s">
        <v>21</v>
      </c>
      <c r="I568" t="s">
        <v>22</v>
      </c>
      <c r="J568">
        <v>1456293600</v>
      </c>
      <c r="K568">
        <v>1458277200</v>
      </c>
      <c r="L568" t="b">
        <v>0</v>
      </c>
      <c r="M568" t="b">
        <v>1</v>
      </c>
      <c r="N568" t="s">
        <v>50</v>
      </c>
      <c r="O568" s="4">
        <f t="shared" si="24"/>
        <v>2.2550921435499514</v>
      </c>
      <c r="P568" t="str">
        <f t="shared" si="25"/>
        <v>music</v>
      </c>
      <c r="Q568" t="str">
        <f t="shared" si="26"/>
        <v>electric music</v>
      </c>
    </row>
    <row r="569" spans="1:17" ht="31.2" x14ac:dyDescent="0.3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t="s">
        <v>20</v>
      </c>
      <c r="G569">
        <v>244</v>
      </c>
      <c r="H569" t="s">
        <v>21</v>
      </c>
      <c r="I569" t="s">
        <v>22</v>
      </c>
      <c r="J569">
        <v>1404968400</v>
      </c>
      <c r="K569">
        <v>1405141200</v>
      </c>
      <c r="L569" t="b">
        <v>0</v>
      </c>
      <c r="M569" t="b">
        <v>0</v>
      </c>
      <c r="N569" t="s">
        <v>23</v>
      </c>
      <c r="O569" s="4">
        <f t="shared" si="24"/>
        <v>0.45745038681466532</v>
      </c>
      <c r="P569" t="str">
        <f t="shared" si="25"/>
        <v>music</v>
      </c>
      <c r="Q569" t="str">
        <f t="shared" si="26"/>
        <v>rock</v>
      </c>
    </row>
    <row r="570" spans="1:17" x14ac:dyDescent="0.3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t="s">
        <v>20</v>
      </c>
      <c r="G570">
        <v>5180</v>
      </c>
      <c r="H570" t="s">
        <v>21</v>
      </c>
      <c r="I570" t="s">
        <v>22</v>
      </c>
      <c r="J570">
        <v>1279170000</v>
      </c>
      <c r="K570">
        <v>1283058000</v>
      </c>
      <c r="L570" t="b">
        <v>0</v>
      </c>
      <c r="M570" t="b">
        <v>0</v>
      </c>
      <c r="N570" t="s">
        <v>33</v>
      </c>
      <c r="O570" s="4">
        <f t="shared" si="24"/>
        <v>0.53753860774530771</v>
      </c>
      <c r="P570" t="str">
        <f t="shared" si="25"/>
        <v>theater</v>
      </c>
      <c r="Q570" t="str">
        <f t="shared" si="26"/>
        <v>plays</v>
      </c>
    </row>
    <row r="571" spans="1:17" x14ac:dyDescent="0.3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t="s">
        <v>20</v>
      </c>
      <c r="G571">
        <v>589</v>
      </c>
      <c r="H571" t="s">
        <v>107</v>
      </c>
      <c r="I571" t="s">
        <v>108</v>
      </c>
      <c r="J571">
        <v>1294725600</v>
      </c>
      <c r="K571">
        <v>1295762400</v>
      </c>
      <c r="L571" t="b">
        <v>0</v>
      </c>
      <c r="M571" t="b">
        <v>0</v>
      </c>
      <c r="N571" t="s">
        <v>71</v>
      </c>
      <c r="O571" s="4">
        <f t="shared" si="24"/>
        <v>0.42133948223456663</v>
      </c>
      <c r="P571" t="str">
        <f t="shared" si="25"/>
        <v>film &amp; video</v>
      </c>
      <c r="Q571" t="str">
        <f t="shared" si="26"/>
        <v>animation</v>
      </c>
    </row>
    <row r="572" spans="1:17" x14ac:dyDescent="0.3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t="s">
        <v>20</v>
      </c>
      <c r="G572">
        <v>2725</v>
      </c>
      <c r="H572" t="s">
        <v>21</v>
      </c>
      <c r="I572" t="s">
        <v>22</v>
      </c>
      <c r="J572">
        <v>1419055200</v>
      </c>
      <c r="K572">
        <v>1419573600</v>
      </c>
      <c r="L572" t="b">
        <v>0</v>
      </c>
      <c r="M572" t="b">
        <v>1</v>
      </c>
      <c r="N572" t="s">
        <v>23</v>
      </c>
      <c r="O572" s="4">
        <f t="shared" si="24"/>
        <v>0.32716748458537814</v>
      </c>
      <c r="P572" t="str">
        <f t="shared" si="25"/>
        <v>music</v>
      </c>
      <c r="Q572" t="str">
        <f t="shared" si="26"/>
        <v>rock</v>
      </c>
    </row>
    <row r="573" spans="1:17" x14ac:dyDescent="0.3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t="s">
        <v>14</v>
      </c>
      <c r="G573">
        <v>35</v>
      </c>
      <c r="H573" t="s">
        <v>107</v>
      </c>
      <c r="I573" t="s">
        <v>108</v>
      </c>
      <c r="J573">
        <v>1434690000</v>
      </c>
      <c r="K573">
        <v>1438750800</v>
      </c>
      <c r="L573" t="b">
        <v>0</v>
      </c>
      <c r="M573" t="b">
        <v>0</v>
      </c>
      <c r="N573" t="s">
        <v>100</v>
      </c>
      <c r="O573" s="4">
        <f t="shared" si="24"/>
        <v>1.062215477996965</v>
      </c>
      <c r="P573" t="str">
        <f t="shared" si="25"/>
        <v>film &amp; video</v>
      </c>
      <c r="Q573" t="str">
        <f t="shared" si="26"/>
        <v>shorts</v>
      </c>
    </row>
    <row r="574" spans="1:17" x14ac:dyDescent="0.3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t="s">
        <v>74</v>
      </c>
      <c r="G574">
        <v>94</v>
      </c>
      <c r="H574" t="s">
        <v>21</v>
      </c>
      <c r="I574" t="s">
        <v>22</v>
      </c>
      <c r="J574">
        <v>1443416400</v>
      </c>
      <c r="K574">
        <v>1444798800</v>
      </c>
      <c r="L574" t="b">
        <v>0</v>
      </c>
      <c r="M574" t="b">
        <v>1</v>
      </c>
      <c r="N574" t="s">
        <v>23</v>
      </c>
      <c r="O574" s="4">
        <f t="shared" si="24"/>
        <v>1.838235294117647</v>
      </c>
      <c r="P574" t="str">
        <f t="shared" si="25"/>
        <v>music</v>
      </c>
      <c r="Q574" t="str">
        <f t="shared" si="26"/>
        <v>rock</v>
      </c>
    </row>
    <row r="575" spans="1:17" x14ac:dyDescent="0.3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t="s">
        <v>20</v>
      </c>
      <c r="G575">
        <v>300</v>
      </c>
      <c r="H575" t="s">
        <v>21</v>
      </c>
      <c r="I575" t="s">
        <v>22</v>
      </c>
      <c r="J575">
        <v>1399006800</v>
      </c>
      <c r="K575">
        <v>1399179600</v>
      </c>
      <c r="L575" t="b">
        <v>0</v>
      </c>
      <c r="M575" t="b">
        <v>0</v>
      </c>
      <c r="N575" t="s">
        <v>1029</v>
      </c>
      <c r="O575" s="4">
        <f t="shared" si="24"/>
        <v>0.89381003201707576</v>
      </c>
      <c r="P575" t="str">
        <f t="shared" si="25"/>
        <v>journalism</v>
      </c>
      <c r="Q575" t="str">
        <f t="shared" si="26"/>
        <v>audio</v>
      </c>
    </row>
    <row r="576" spans="1:17" x14ac:dyDescent="0.3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t="s">
        <v>20</v>
      </c>
      <c r="G576">
        <v>144</v>
      </c>
      <c r="H576" t="s">
        <v>21</v>
      </c>
      <c r="I576" t="s">
        <v>22</v>
      </c>
      <c r="J576">
        <v>1575698400</v>
      </c>
      <c r="K576">
        <v>1576562400</v>
      </c>
      <c r="L576" t="b">
        <v>0</v>
      </c>
      <c r="M576" t="b">
        <v>1</v>
      </c>
      <c r="N576" t="s">
        <v>17</v>
      </c>
      <c r="O576" s="4">
        <f t="shared" si="24"/>
        <v>0.2708939500351159</v>
      </c>
      <c r="P576" t="str">
        <f t="shared" si="25"/>
        <v>food</v>
      </c>
      <c r="Q576" t="str">
        <f t="shared" si="26"/>
        <v>food trucks</v>
      </c>
    </row>
    <row r="577" spans="1:17" x14ac:dyDescent="0.3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t="s">
        <v>14</v>
      </c>
      <c r="G577">
        <v>558</v>
      </c>
      <c r="H577" t="s">
        <v>21</v>
      </c>
      <c r="I577" t="s">
        <v>22</v>
      </c>
      <c r="J577">
        <v>1400562000</v>
      </c>
      <c r="K577">
        <v>1400821200</v>
      </c>
      <c r="L577" t="b">
        <v>0</v>
      </c>
      <c r="M577" t="b">
        <v>1</v>
      </c>
      <c r="N577" t="s">
        <v>33</v>
      </c>
      <c r="O577" s="4">
        <f t="shared" si="24"/>
        <v>1.589057820339177</v>
      </c>
      <c r="P577" t="str">
        <f t="shared" si="25"/>
        <v>theater</v>
      </c>
      <c r="Q577" t="str">
        <f t="shared" si="26"/>
        <v>plays</v>
      </c>
    </row>
    <row r="578" spans="1:17" ht="31.2" x14ac:dyDescent="0.3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t="s">
        <v>14</v>
      </c>
      <c r="G578">
        <v>64</v>
      </c>
      <c r="H578" t="s">
        <v>21</v>
      </c>
      <c r="I578" t="s">
        <v>22</v>
      </c>
      <c r="J578">
        <v>1509512400</v>
      </c>
      <c r="K578">
        <v>1510984800</v>
      </c>
      <c r="L578" t="b">
        <v>0</v>
      </c>
      <c r="M578" t="b">
        <v>0</v>
      </c>
      <c r="N578" t="s">
        <v>33</v>
      </c>
      <c r="O578" s="4">
        <f t="shared" si="24"/>
        <v>1.5401714830104796</v>
      </c>
      <c r="P578" t="str">
        <f t="shared" si="25"/>
        <v>theater</v>
      </c>
      <c r="Q578" t="str">
        <f t="shared" si="26"/>
        <v>plays</v>
      </c>
    </row>
    <row r="579" spans="1:17" x14ac:dyDescent="0.3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t="s">
        <v>74</v>
      </c>
      <c r="G579">
        <v>37</v>
      </c>
      <c r="H579" t="s">
        <v>21</v>
      </c>
      <c r="I579" t="s">
        <v>22</v>
      </c>
      <c r="J579">
        <v>1299823200</v>
      </c>
      <c r="K579">
        <v>1302066000</v>
      </c>
      <c r="L579" t="b">
        <v>0</v>
      </c>
      <c r="M579" t="b">
        <v>0</v>
      </c>
      <c r="N579" t="s">
        <v>159</v>
      </c>
      <c r="O579" s="4">
        <f t="shared" ref="O579:O642" si="27">D579/E579</f>
        <v>5.304010349288486</v>
      </c>
      <c r="P579" t="str">
        <f t="shared" ref="P579:P642" si="28">LEFT(N579,SEARCH("/",N579) -1)</f>
        <v>music</v>
      </c>
      <c r="Q579" t="str">
        <f t="shared" ref="Q579:Q642" si="29">RIGHT(N579,LEN(N579)-SEARCH("/",N579))</f>
        <v>jazz</v>
      </c>
    </row>
    <row r="580" spans="1:17" x14ac:dyDescent="0.3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t="s">
        <v>14</v>
      </c>
      <c r="G580">
        <v>245</v>
      </c>
      <c r="H580" t="s">
        <v>21</v>
      </c>
      <c r="I580" t="s">
        <v>22</v>
      </c>
      <c r="J580">
        <v>1322719200</v>
      </c>
      <c r="K580">
        <v>1322978400</v>
      </c>
      <c r="L580" t="b">
        <v>0</v>
      </c>
      <c r="M580" t="b">
        <v>0</v>
      </c>
      <c r="N580" t="s">
        <v>474</v>
      </c>
      <c r="O580" s="4">
        <f t="shared" si="27"/>
        <v>5.9685799109351807</v>
      </c>
      <c r="P580" t="str">
        <f t="shared" si="28"/>
        <v>film &amp; video</v>
      </c>
      <c r="Q580" t="str">
        <f t="shared" si="29"/>
        <v>science fiction</v>
      </c>
    </row>
    <row r="581" spans="1:17" x14ac:dyDescent="0.3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t="s">
        <v>20</v>
      </c>
      <c r="G581">
        <v>87</v>
      </c>
      <c r="H581" t="s">
        <v>21</v>
      </c>
      <c r="I581" t="s">
        <v>22</v>
      </c>
      <c r="J581">
        <v>1312693200</v>
      </c>
      <c r="K581">
        <v>1313730000</v>
      </c>
      <c r="L581" t="b">
        <v>0</v>
      </c>
      <c r="M581" t="b">
        <v>0</v>
      </c>
      <c r="N581" t="s">
        <v>159</v>
      </c>
      <c r="O581" s="4">
        <f t="shared" si="27"/>
        <v>0.98899345988195886</v>
      </c>
      <c r="P581" t="str">
        <f t="shared" si="28"/>
        <v>music</v>
      </c>
      <c r="Q581" t="str">
        <f t="shared" si="29"/>
        <v>jazz</v>
      </c>
    </row>
    <row r="582" spans="1:17" x14ac:dyDescent="0.3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t="s">
        <v>20</v>
      </c>
      <c r="G582">
        <v>3116</v>
      </c>
      <c r="H582" t="s">
        <v>21</v>
      </c>
      <c r="I582" t="s">
        <v>22</v>
      </c>
      <c r="J582">
        <v>1393394400</v>
      </c>
      <c r="K582">
        <v>1394085600</v>
      </c>
      <c r="L582" t="b">
        <v>0</v>
      </c>
      <c r="M582" t="b">
        <v>0</v>
      </c>
      <c r="N582" t="s">
        <v>33</v>
      </c>
      <c r="O582" s="4">
        <f t="shared" si="27"/>
        <v>0.29282381098824695</v>
      </c>
      <c r="P582" t="str">
        <f t="shared" si="28"/>
        <v>theater</v>
      </c>
      <c r="Q582" t="str">
        <f t="shared" si="29"/>
        <v>plays</v>
      </c>
    </row>
    <row r="583" spans="1:17" x14ac:dyDescent="0.3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t="s">
        <v>14</v>
      </c>
      <c r="G583">
        <v>71</v>
      </c>
      <c r="H583" t="s">
        <v>21</v>
      </c>
      <c r="I583" t="s">
        <v>22</v>
      </c>
      <c r="J583">
        <v>1304053200</v>
      </c>
      <c r="K583">
        <v>1305349200</v>
      </c>
      <c r="L583" t="b">
        <v>0</v>
      </c>
      <c r="M583" t="b">
        <v>0</v>
      </c>
      <c r="N583" t="s">
        <v>28</v>
      </c>
      <c r="O583" s="4">
        <f t="shared" si="27"/>
        <v>1.5620932048945586</v>
      </c>
      <c r="P583" t="str">
        <f t="shared" si="28"/>
        <v>technology</v>
      </c>
      <c r="Q583" t="str">
        <f t="shared" si="29"/>
        <v>web</v>
      </c>
    </row>
    <row r="584" spans="1:17" x14ac:dyDescent="0.3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t="s">
        <v>14</v>
      </c>
      <c r="G584">
        <v>42</v>
      </c>
      <c r="H584" t="s">
        <v>21</v>
      </c>
      <c r="I584" t="s">
        <v>22</v>
      </c>
      <c r="J584">
        <v>1433912400</v>
      </c>
      <c r="K584">
        <v>1434344400</v>
      </c>
      <c r="L584" t="b">
        <v>0</v>
      </c>
      <c r="M584" t="b">
        <v>1</v>
      </c>
      <c r="N584" t="s">
        <v>89</v>
      </c>
      <c r="O584" s="4">
        <f t="shared" si="27"/>
        <v>1.9201059368792761</v>
      </c>
      <c r="P584" t="str">
        <f t="shared" si="28"/>
        <v>games</v>
      </c>
      <c r="Q584" t="str">
        <f t="shared" si="29"/>
        <v>video games</v>
      </c>
    </row>
    <row r="585" spans="1:17" ht="31.2" x14ac:dyDescent="0.3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t="s">
        <v>20</v>
      </c>
      <c r="G585">
        <v>909</v>
      </c>
      <c r="H585" t="s">
        <v>21</v>
      </c>
      <c r="I585" t="s">
        <v>22</v>
      </c>
      <c r="J585">
        <v>1329717600</v>
      </c>
      <c r="K585">
        <v>1331186400</v>
      </c>
      <c r="L585" t="b">
        <v>0</v>
      </c>
      <c r="M585" t="b">
        <v>0</v>
      </c>
      <c r="N585" t="s">
        <v>42</v>
      </c>
      <c r="O585" s="4">
        <f t="shared" si="27"/>
        <v>0.31017166114156303</v>
      </c>
      <c r="P585" t="str">
        <f t="shared" si="28"/>
        <v>film &amp; video</v>
      </c>
      <c r="Q585" t="str">
        <f t="shared" si="29"/>
        <v>documentary</v>
      </c>
    </row>
    <row r="586" spans="1:17" ht="31.2" x14ac:dyDescent="0.3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t="s">
        <v>20</v>
      </c>
      <c r="G586">
        <v>1613</v>
      </c>
      <c r="H586" t="s">
        <v>21</v>
      </c>
      <c r="I586" t="s">
        <v>22</v>
      </c>
      <c r="J586">
        <v>1335330000</v>
      </c>
      <c r="K586">
        <v>1336539600</v>
      </c>
      <c r="L586" t="b">
        <v>0</v>
      </c>
      <c r="M586" t="b">
        <v>0</v>
      </c>
      <c r="N586" t="s">
        <v>28</v>
      </c>
      <c r="O586" s="4">
        <f t="shared" si="27"/>
        <v>0.83676335286426806</v>
      </c>
      <c r="P586" t="str">
        <f t="shared" si="28"/>
        <v>technology</v>
      </c>
      <c r="Q586" t="str">
        <f t="shared" si="29"/>
        <v>web</v>
      </c>
    </row>
    <row r="587" spans="1:17" x14ac:dyDescent="0.3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t="s">
        <v>20</v>
      </c>
      <c r="G587">
        <v>136</v>
      </c>
      <c r="H587" t="s">
        <v>21</v>
      </c>
      <c r="I587" t="s">
        <v>22</v>
      </c>
      <c r="J587">
        <v>1268888400</v>
      </c>
      <c r="K587">
        <v>1269752400</v>
      </c>
      <c r="L587" t="b">
        <v>0</v>
      </c>
      <c r="M587" t="b">
        <v>0</v>
      </c>
      <c r="N587" t="s">
        <v>206</v>
      </c>
      <c r="O587" s="4">
        <f t="shared" si="27"/>
        <v>0.68120933792575589</v>
      </c>
      <c r="P587" t="str">
        <f t="shared" si="28"/>
        <v>publishing</v>
      </c>
      <c r="Q587" t="str">
        <f t="shared" si="29"/>
        <v>translations</v>
      </c>
    </row>
    <row r="588" spans="1:17" ht="31.2" x14ac:dyDescent="0.3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t="s">
        <v>20</v>
      </c>
      <c r="G588">
        <v>130</v>
      </c>
      <c r="H588" t="s">
        <v>21</v>
      </c>
      <c r="I588" t="s">
        <v>22</v>
      </c>
      <c r="J588">
        <v>1289973600</v>
      </c>
      <c r="K588">
        <v>1291615200</v>
      </c>
      <c r="L588" t="b">
        <v>0</v>
      </c>
      <c r="M588" t="b">
        <v>0</v>
      </c>
      <c r="N588" t="s">
        <v>23</v>
      </c>
      <c r="O588" s="4">
        <f t="shared" si="27"/>
        <v>0.10519987977156597</v>
      </c>
      <c r="P588" t="str">
        <f t="shared" si="28"/>
        <v>music</v>
      </c>
      <c r="Q588" t="str">
        <f t="shared" si="29"/>
        <v>rock</v>
      </c>
    </row>
    <row r="589" spans="1:17" x14ac:dyDescent="0.3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t="s">
        <v>14</v>
      </c>
      <c r="G589">
        <v>156</v>
      </c>
      <c r="H589" t="s">
        <v>15</v>
      </c>
      <c r="I589" t="s">
        <v>16</v>
      </c>
      <c r="J589">
        <v>1547877600</v>
      </c>
      <c r="K589">
        <v>1552366800</v>
      </c>
      <c r="L589" t="b">
        <v>0</v>
      </c>
      <c r="M589" t="b">
        <v>1</v>
      </c>
      <c r="N589" t="s">
        <v>17</v>
      </c>
      <c r="O589" s="4">
        <f t="shared" si="27"/>
        <v>1.3718622300058376</v>
      </c>
      <c r="P589" t="str">
        <f t="shared" si="28"/>
        <v>food</v>
      </c>
      <c r="Q589" t="str">
        <f t="shared" si="29"/>
        <v>food trucks</v>
      </c>
    </row>
    <row r="590" spans="1:17" x14ac:dyDescent="0.3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t="s">
        <v>14</v>
      </c>
      <c r="G590">
        <v>1368</v>
      </c>
      <c r="H590" t="s">
        <v>40</v>
      </c>
      <c r="I590" t="s">
        <v>41</v>
      </c>
      <c r="J590">
        <v>1269493200</v>
      </c>
      <c r="K590">
        <v>1272171600</v>
      </c>
      <c r="L590" t="b">
        <v>0</v>
      </c>
      <c r="M590" t="b">
        <v>0</v>
      </c>
      <c r="N590" t="s">
        <v>33</v>
      </c>
      <c r="O590" s="4">
        <f t="shared" si="27"/>
        <v>1.2656906285888674</v>
      </c>
      <c r="P590" t="str">
        <f t="shared" si="28"/>
        <v>theater</v>
      </c>
      <c r="Q590" t="str">
        <f t="shared" si="29"/>
        <v>plays</v>
      </c>
    </row>
    <row r="591" spans="1:17" x14ac:dyDescent="0.3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t="s">
        <v>14</v>
      </c>
      <c r="G591">
        <v>102</v>
      </c>
      <c r="H591" t="s">
        <v>21</v>
      </c>
      <c r="I591" t="s">
        <v>22</v>
      </c>
      <c r="J591">
        <v>1436072400</v>
      </c>
      <c r="K591">
        <v>1436677200</v>
      </c>
      <c r="L591" t="b">
        <v>0</v>
      </c>
      <c r="M591" t="b">
        <v>0</v>
      </c>
      <c r="N591" t="s">
        <v>42</v>
      </c>
      <c r="O591" s="4">
        <f t="shared" si="27"/>
        <v>1.5450811656561705</v>
      </c>
      <c r="P591" t="str">
        <f t="shared" si="28"/>
        <v>film &amp; video</v>
      </c>
      <c r="Q591" t="str">
        <f t="shared" si="29"/>
        <v>documentary</v>
      </c>
    </row>
    <row r="592" spans="1:17" ht="31.2" x14ac:dyDescent="0.3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t="s">
        <v>14</v>
      </c>
      <c r="G592">
        <v>86</v>
      </c>
      <c r="H592" t="s">
        <v>26</v>
      </c>
      <c r="I592" t="s">
        <v>27</v>
      </c>
      <c r="J592">
        <v>1419141600</v>
      </c>
      <c r="K592">
        <v>1420092000</v>
      </c>
      <c r="L592" t="b">
        <v>0</v>
      </c>
      <c r="M592" t="b">
        <v>0</v>
      </c>
      <c r="N592" t="s">
        <v>133</v>
      </c>
      <c r="O592" s="4">
        <f t="shared" si="27"/>
        <v>1.2190934065934067</v>
      </c>
      <c r="P592" t="str">
        <f t="shared" si="28"/>
        <v>publishing</v>
      </c>
      <c r="Q592" t="str">
        <f t="shared" si="29"/>
        <v>radio &amp; podcasts</v>
      </c>
    </row>
    <row r="593" spans="1:17" x14ac:dyDescent="0.3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t="s">
        <v>20</v>
      </c>
      <c r="G593">
        <v>102</v>
      </c>
      <c r="H593" t="s">
        <v>21</v>
      </c>
      <c r="I593" t="s">
        <v>22</v>
      </c>
      <c r="J593">
        <v>1279083600</v>
      </c>
      <c r="K593">
        <v>1279947600</v>
      </c>
      <c r="L593" t="b">
        <v>0</v>
      </c>
      <c r="M593" t="b">
        <v>0</v>
      </c>
      <c r="N593" t="s">
        <v>89</v>
      </c>
      <c r="O593" s="4">
        <f t="shared" si="27"/>
        <v>9.6370061034371984E-2</v>
      </c>
      <c r="P593" t="str">
        <f t="shared" si="28"/>
        <v>games</v>
      </c>
      <c r="Q593" t="str">
        <f t="shared" si="29"/>
        <v>video games</v>
      </c>
    </row>
    <row r="594" spans="1:17" ht="31.2" x14ac:dyDescent="0.3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t="s">
        <v>14</v>
      </c>
      <c r="G594">
        <v>253</v>
      </c>
      <c r="H594" t="s">
        <v>21</v>
      </c>
      <c r="I594" t="s">
        <v>22</v>
      </c>
      <c r="J594">
        <v>1401426000</v>
      </c>
      <c r="K594">
        <v>1402203600</v>
      </c>
      <c r="L594" t="b">
        <v>0</v>
      </c>
      <c r="M594" t="b">
        <v>0</v>
      </c>
      <c r="N594" t="s">
        <v>33</v>
      </c>
      <c r="O594" s="4">
        <f t="shared" si="27"/>
        <v>7.7458874672726372</v>
      </c>
      <c r="P594" t="str">
        <f t="shared" si="28"/>
        <v>theater</v>
      </c>
      <c r="Q594" t="str">
        <f t="shared" si="29"/>
        <v>plays</v>
      </c>
    </row>
    <row r="595" spans="1:17" ht="31.2" x14ac:dyDescent="0.3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t="s">
        <v>20</v>
      </c>
      <c r="G595">
        <v>4006</v>
      </c>
      <c r="H595" t="s">
        <v>21</v>
      </c>
      <c r="I595" t="s">
        <v>22</v>
      </c>
      <c r="J595">
        <v>1395810000</v>
      </c>
      <c r="K595">
        <v>1396933200</v>
      </c>
      <c r="L595" t="b">
        <v>0</v>
      </c>
      <c r="M595" t="b">
        <v>0</v>
      </c>
      <c r="N595" t="s">
        <v>71</v>
      </c>
      <c r="O595" s="4">
        <f t="shared" si="27"/>
        <v>0.64581917063222294</v>
      </c>
      <c r="P595" t="str">
        <f t="shared" si="28"/>
        <v>film &amp; video</v>
      </c>
      <c r="Q595" t="str">
        <f t="shared" si="29"/>
        <v>animation</v>
      </c>
    </row>
    <row r="596" spans="1:17" ht="31.2" x14ac:dyDescent="0.3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t="s">
        <v>14</v>
      </c>
      <c r="G596">
        <v>157</v>
      </c>
      <c r="H596" t="s">
        <v>21</v>
      </c>
      <c r="I596" t="s">
        <v>22</v>
      </c>
      <c r="J596">
        <v>1467003600</v>
      </c>
      <c r="K596">
        <v>1467262800</v>
      </c>
      <c r="L596" t="b">
        <v>0</v>
      </c>
      <c r="M596" t="b">
        <v>1</v>
      </c>
      <c r="N596" t="s">
        <v>33</v>
      </c>
      <c r="O596" s="4">
        <f t="shared" si="27"/>
        <v>14.086146682188591</v>
      </c>
      <c r="P596" t="str">
        <f t="shared" si="28"/>
        <v>theater</v>
      </c>
      <c r="Q596" t="str">
        <f t="shared" si="29"/>
        <v>plays</v>
      </c>
    </row>
    <row r="597" spans="1:17" ht="31.2" x14ac:dyDescent="0.3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t="s">
        <v>20</v>
      </c>
      <c r="G597">
        <v>1629</v>
      </c>
      <c r="H597" t="s">
        <v>21</v>
      </c>
      <c r="I597" t="s">
        <v>22</v>
      </c>
      <c r="J597">
        <v>1268715600</v>
      </c>
      <c r="K597">
        <v>1270530000</v>
      </c>
      <c r="L597" t="b">
        <v>0</v>
      </c>
      <c r="M597" t="b">
        <v>1</v>
      </c>
      <c r="N597" t="s">
        <v>33</v>
      </c>
      <c r="O597" s="4">
        <f t="shared" si="27"/>
        <v>0.47955250861216275</v>
      </c>
      <c r="P597" t="str">
        <f t="shared" si="28"/>
        <v>theater</v>
      </c>
      <c r="Q597" t="str">
        <f t="shared" si="29"/>
        <v>plays</v>
      </c>
    </row>
    <row r="598" spans="1:17" x14ac:dyDescent="0.3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t="s">
        <v>14</v>
      </c>
      <c r="G598">
        <v>183</v>
      </c>
      <c r="H598" t="s">
        <v>21</v>
      </c>
      <c r="I598" t="s">
        <v>22</v>
      </c>
      <c r="J598">
        <v>1457157600</v>
      </c>
      <c r="K598">
        <v>1457762400</v>
      </c>
      <c r="L598" t="b">
        <v>0</v>
      </c>
      <c r="M598" t="b">
        <v>1</v>
      </c>
      <c r="N598" t="s">
        <v>53</v>
      </c>
      <c r="O598" s="4">
        <f t="shared" si="27"/>
        <v>1.0031746031746032</v>
      </c>
      <c r="P598" t="str">
        <f t="shared" si="28"/>
        <v>film &amp; video</v>
      </c>
      <c r="Q598" t="str">
        <f t="shared" si="29"/>
        <v>drama</v>
      </c>
    </row>
    <row r="599" spans="1:17" x14ac:dyDescent="0.3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t="s">
        <v>20</v>
      </c>
      <c r="G599">
        <v>2188</v>
      </c>
      <c r="H599" t="s">
        <v>21</v>
      </c>
      <c r="I599" t="s">
        <v>22</v>
      </c>
      <c r="J599">
        <v>1573970400</v>
      </c>
      <c r="K599">
        <v>1575525600</v>
      </c>
      <c r="L599" t="b">
        <v>0</v>
      </c>
      <c r="M599" t="b">
        <v>0</v>
      </c>
      <c r="N599" t="s">
        <v>33</v>
      </c>
      <c r="O599" s="4">
        <f t="shared" si="27"/>
        <v>0.49603774726271854</v>
      </c>
      <c r="P599" t="str">
        <f t="shared" si="28"/>
        <v>theater</v>
      </c>
      <c r="Q599" t="str">
        <f t="shared" si="29"/>
        <v>plays</v>
      </c>
    </row>
    <row r="600" spans="1:17" x14ac:dyDescent="0.3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t="s">
        <v>20</v>
      </c>
      <c r="G600">
        <v>2409</v>
      </c>
      <c r="H600" t="s">
        <v>107</v>
      </c>
      <c r="I600" t="s">
        <v>108</v>
      </c>
      <c r="J600">
        <v>1276578000</v>
      </c>
      <c r="K600">
        <v>1279083600</v>
      </c>
      <c r="L600" t="b">
        <v>0</v>
      </c>
      <c r="M600" t="b">
        <v>0</v>
      </c>
      <c r="N600" t="s">
        <v>23</v>
      </c>
      <c r="O600" s="4">
        <f t="shared" si="27"/>
        <v>0.61693997771055564</v>
      </c>
      <c r="P600" t="str">
        <f t="shared" si="28"/>
        <v>music</v>
      </c>
      <c r="Q600" t="str">
        <f t="shared" si="29"/>
        <v>rock</v>
      </c>
    </row>
    <row r="601" spans="1:17" ht="31.2" x14ac:dyDescent="0.3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t="s">
        <v>14</v>
      </c>
      <c r="G601">
        <v>82</v>
      </c>
      <c r="H601" t="s">
        <v>36</v>
      </c>
      <c r="I601" t="s">
        <v>37</v>
      </c>
      <c r="J601">
        <v>1423720800</v>
      </c>
      <c r="K601">
        <v>1424412000</v>
      </c>
      <c r="L601" t="b">
        <v>0</v>
      </c>
      <c r="M601" t="b">
        <v>0</v>
      </c>
      <c r="N601" t="s">
        <v>42</v>
      </c>
      <c r="O601" s="4">
        <f t="shared" si="27"/>
        <v>27.445226917057902</v>
      </c>
      <c r="P601" t="str">
        <f t="shared" si="28"/>
        <v>film &amp; video</v>
      </c>
      <c r="Q601" t="str">
        <f t="shared" si="29"/>
        <v>documentary</v>
      </c>
    </row>
    <row r="602" spans="1:17" x14ac:dyDescent="0.3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t="s">
        <v>14</v>
      </c>
      <c r="G602">
        <v>1</v>
      </c>
      <c r="H602" t="s">
        <v>40</v>
      </c>
      <c r="I602" t="s">
        <v>41</v>
      </c>
      <c r="J602">
        <v>1375160400</v>
      </c>
      <c r="K602">
        <v>1376197200</v>
      </c>
      <c r="L602" t="b">
        <v>0</v>
      </c>
      <c r="M602" t="b">
        <v>0</v>
      </c>
      <c r="N602" t="s">
        <v>17</v>
      </c>
      <c r="O602" s="4">
        <f t="shared" si="27"/>
        <v>20</v>
      </c>
      <c r="P602" t="str">
        <f t="shared" si="28"/>
        <v>food</v>
      </c>
      <c r="Q602" t="str">
        <f t="shared" si="29"/>
        <v>food trucks</v>
      </c>
    </row>
    <row r="603" spans="1:17" x14ac:dyDescent="0.3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t="s">
        <v>20</v>
      </c>
      <c r="G603">
        <v>194</v>
      </c>
      <c r="H603" t="s">
        <v>21</v>
      </c>
      <c r="I603" t="s">
        <v>22</v>
      </c>
      <c r="J603">
        <v>1401426000</v>
      </c>
      <c r="K603">
        <v>1402894800</v>
      </c>
      <c r="L603" t="b">
        <v>1</v>
      </c>
      <c r="M603" t="b">
        <v>0</v>
      </c>
      <c r="N603" t="s">
        <v>65</v>
      </c>
      <c r="O603" s="4">
        <f t="shared" si="27"/>
        <v>0.48394530649869411</v>
      </c>
      <c r="P603" t="str">
        <f t="shared" si="28"/>
        <v>technology</v>
      </c>
      <c r="Q603" t="str">
        <f t="shared" si="29"/>
        <v>wearables</v>
      </c>
    </row>
    <row r="604" spans="1:17" ht="31.2" x14ac:dyDescent="0.3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t="s">
        <v>20</v>
      </c>
      <c r="G604">
        <v>1140</v>
      </c>
      <c r="H604" t="s">
        <v>21</v>
      </c>
      <c r="I604" t="s">
        <v>22</v>
      </c>
      <c r="J604">
        <v>1433480400</v>
      </c>
      <c r="K604">
        <v>1434430800</v>
      </c>
      <c r="L604" t="b">
        <v>0</v>
      </c>
      <c r="M604" t="b">
        <v>0</v>
      </c>
      <c r="N604" t="s">
        <v>33</v>
      </c>
      <c r="O604" s="4">
        <f t="shared" si="27"/>
        <v>0.77981047644116874</v>
      </c>
      <c r="P604" t="str">
        <f t="shared" si="28"/>
        <v>theater</v>
      </c>
      <c r="Q604" t="str">
        <f t="shared" si="29"/>
        <v>plays</v>
      </c>
    </row>
    <row r="605" spans="1:17" x14ac:dyDescent="0.3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t="s">
        <v>20</v>
      </c>
      <c r="G605">
        <v>102</v>
      </c>
      <c r="H605" t="s">
        <v>21</v>
      </c>
      <c r="I605" t="s">
        <v>22</v>
      </c>
      <c r="J605">
        <v>1555563600</v>
      </c>
      <c r="K605">
        <v>1557896400</v>
      </c>
      <c r="L605" t="b">
        <v>0</v>
      </c>
      <c r="M605" t="b">
        <v>0</v>
      </c>
      <c r="N605" t="s">
        <v>33</v>
      </c>
      <c r="O605" s="4">
        <f t="shared" si="27"/>
        <v>0.83569851781772309</v>
      </c>
      <c r="P605" t="str">
        <f t="shared" si="28"/>
        <v>theater</v>
      </c>
      <c r="Q605" t="str">
        <f t="shared" si="29"/>
        <v>plays</v>
      </c>
    </row>
    <row r="606" spans="1:17" x14ac:dyDescent="0.3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t="s">
        <v>20</v>
      </c>
      <c r="G606">
        <v>2857</v>
      </c>
      <c r="H606" t="s">
        <v>21</v>
      </c>
      <c r="I606" t="s">
        <v>22</v>
      </c>
      <c r="J606">
        <v>1295676000</v>
      </c>
      <c r="K606">
        <v>1297490400</v>
      </c>
      <c r="L606" t="b">
        <v>0</v>
      </c>
      <c r="M606" t="b">
        <v>0</v>
      </c>
      <c r="N606" t="s">
        <v>33</v>
      </c>
      <c r="O606" s="4">
        <f t="shared" si="27"/>
        <v>0.58571824773174497</v>
      </c>
      <c r="P606" t="str">
        <f t="shared" si="28"/>
        <v>theater</v>
      </c>
      <c r="Q606" t="str">
        <f t="shared" si="29"/>
        <v>plays</v>
      </c>
    </row>
    <row r="607" spans="1:17" x14ac:dyDescent="0.3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t="s">
        <v>20</v>
      </c>
      <c r="G607">
        <v>107</v>
      </c>
      <c r="H607" t="s">
        <v>21</v>
      </c>
      <c r="I607" t="s">
        <v>22</v>
      </c>
      <c r="J607">
        <v>1443848400</v>
      </c>
      <c r="K607">
        <v>1447394400</v>
      </c>
      <c r="L607" t="b">
        <v>0</v>
      </c>
      <c r="M607" t="b">
        <v>0</v>
      </c>
      <c r="N607" t="s">
        <v>68</v>
      </c>
      <c r="O607" s="4">
        <f t="shared" si="27"/>
        <v>0.53415344771770801</v>
      </c>
      <c r="P607" t="str">
        <f t="shared" si="28"/>
        <v>publishing</v>
      </c>
      <c r="Q607" t="str">
        <f t="shared" si="29"/>
        <v>nonfiction</v>
      </c>
    </row>
    <row r="608" spans="1:17" x14ac:dyDescent="0.3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t="s">
        <v>20</v>
      </c>
      <c r="G608">
        <v>160</v>
      </c>
      <c r="H608" t="s">
        <v>40</v>
      </c>
      <c r="I608" t="s">
        <v>41</v>
      </c>
      <c r="J608">
        <v>1457330400</v>
      </c>
      <c r="K608">
        <v>1458277200</v>
      </c>
      <c r="L608" t="b">
        <v>0</v>
      </c>
      <c r="M608" t="b">
        <v>0</v>
      </c>
      <c r="N608" t="s">
        <v>23</v>
      </c>
      <c r="O608" s="4">
        <f t="shared" si="27"/>
        <v>0.53083528493364562</v>
      </c>
      <c r="P608" t="str">
        <f t="shared" si="28"/>
        <v>music</v>
      </c>
      <c r="Q608" t="str">
        <f t="shared" si="29"/>
        <v>rock</v>
      </c>
    </row>
    <row r="609" spans="1:17" x14ac:dyDescent="0.3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t="s">
        <v>20</v>
      </c>
      <c r="G609">
        <v>2230</v>
      </c>
      <c r="H609" t="s">
        <v>21</v>
      </c>
      <c r="I609" t="s">
        <v>22</v>
      </c>
      <c r="J609">
        <v>1395550800</v>
      </c>
      <c r="K609">
        <v>1395723600</v>
      </c>
      <c r="L609" t="b">
        <v>0</v>
      </c>
      <c r="M609" t="b">
        <v>0</v>
      </c>
      <c r="N609" t="s">
        <v>17</v>
      </c>
      <c r="O609" s="4">
        <f t="shared" si="27"/>
        <v>0.76162221102913097</v>
      </c>
      <c r="P609" t="str">
        <f t="shared" si="28"/>
        <v>food</v>
      </c>
      <c r="Q609" t="str">
        <f t="shared" si="29"/>
        <v>food trucks</v>
      </c>
    </row>
    <row r="610" spans="1:17" x14ac:dyDescent="0.3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t="s">
        <v>20</v>
      </c>
      <c r="G610">
        <v>316</v>
      </c>
      <c r="H610" t="s">
        <v>21</v>
      </c>
      <c r="I610" t="s">
        <v>22</v>
      </c>
      <c r="J610">
        <v>1551852000</v>
      </c>
      <c r="K610">
        <v>1552197600</v>
      </c>
      <c r="L610" t="b">
        <v>0</v>
      </c>
      <c r="M610" t="b">
        <v>1</v>
      </c>
      <c r="N610" t="s">
        <v>159</v>
      </c>
      <c r="O610" s="4">
        <f t="shared" si="27"/>
        <v>0.35214446952595935</v>
      </c>
      <c r="P610" t="str">
        <f t="shared" si="28"/>
        <v>music</v>
      </c>
      <c r="Q610" t="str">
        <f t="shared" si="29"/>
        <v>jazz</v>
      </c>
    </row>
    <row r="611" spans="1:17" x14ac:dyDescent="0.3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t="s">
        <v>20</v>
      </c>
      <c r="G611">
        <v>117</v>
      </c>
      <c r="H611" t="s">
        <v>21</v>
      </c>
      <c r="I611" t="s">
        <v>22</v>
      </c>
      <c r="J611">
        <v>1547618400</v>
      </c>
      <c r="K611">
        <v>1549087200</v>
      </c>
      <c r="L611" t="b">
        <v>0</v>
      </c>
      <c r="M611" t="b">
        <v>0</v>
      </c>
      <c r="N611" t="s">
        <v>474</v>
      </c>
      <c r="O611" s="4">
        <f t="shared" si="27"/>
        <v>0.83042683939544926</v>
      </c>
      <c r="P611" t="str">
        <f t="shared" si="28"/>
        <v>film &amp; video</v>
      </c>
      <c r="Q611" t="str">
        <f t="shared" si="29"/>
        <v>science fiction</v>
      </c>
    </row>
    <row r="612" spans="1:17" ht="31.2" x14ac:dyDescent="0.3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t="s">
        <v>20</v>
      </c>
      <c r="G612">
        <v>6406</v>
      </c>
      <c r="H612" t="s">
        <v>21</v>
      </c>
      <c r="I612" t="s">
        <v>22</v>
      </c>
      <c r="J612">
        <v>1355637600</v>
      </c>
      <c r="K612">
        <v>1356847200</v>
      </c>
      <c r="L612" t="b">
        <v>0</v>
      </c>
      <c r="M612" t="b">
        <v>0</v>
      </c>
      <c r="N612" t="s">
        <v>33</v>
      </c>
      <c r="O612" s="4">
        <f t="shared" si="27"/>
        <v>0.23863154842882311</v>
      </c>
      <c r="P612" t="str">
        <f t="shared" si="28"/>
        <v>theater</v>
      </c>
      <c r="Q612" t="str">
        <f t="shared" si="29"/>
        <v>plays</v>
      </c>
    </row>
    <row r="613" spans="1:17" x14ac:dyDescent="0.3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t="s">
        <v>74</v>
      </c>
      <c r="G613">
        <v>15</v>
      </c>
      <c r="H613" t="s">
        <v>21</v>
      </c>
      <c r="I613" t="s">
        <v>22</v>
      </c>
      <c r="J613">
        <v>1374728400</v>
      </c>
      <c r="K613">
        <v>1375765200</v>
      </c>
      <c r="L613" t="b">
        <v>0</v>
      </c>
      <c r="M613" t="b">
        <v>0</v>
      </c>
      <c r="N613" t="s">
        <v>33</v>
      </c>
      <c r="O613" s="4">
        <f t="shared" si="27"/>
        <v>7.21830985915493</v>
      </c>
      <c r="P613" t="str">
        <f t="shared" si="28"/>
        <v>theater</v>
      </c>
      <c r="Q613" t="str">
        <f t="shared" si="29"/>
        <v>plays</v>
      </c>
    </row>
    <row r="614" spans="1:17" x14ac:dyDescent="0.3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t="s">
        <v>20</v>
      </c>
      <c r="G614">
        <v>192</v>
      </c>
      <c r="H614" t="s">
        <v>21</v>
      </c>
      <c r="I614" t="s">
        <v>22</v>
      </c>
      <c r="J614">
        <v>1287810000</v>
      </c>
      <c r="K614">
        <v>1289800800</v>
      </c>
      <c r="L614" t="b">
        <v>0</v>
      </c>
      <c r="M614" t="b">
        <v>0</v>
      </c>
      <c r="N614" t="s">
        <v>50</v>
      </c>
      <c r="O614" s="4">
        <f t="shared" si="27"/>
        <v>0.71717755928282245</v>
      </c>
      <c r="P614" t="str">
        <f t="shared" si="28"/>
        <v>music</v>
      </c>
      <c r="Q614" t="str">
        <f t="shared" si="29"/>
        <v>electric music</v>
      </c>
    </row>
    <row r="615" spans="1:17" ht="31.2" x14ac:dyDescent="0.3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t="s">
        <v>20</v>
      </c>
      <c r="G615">
        <v>26</v>
      </c>
      <c r="H615" t="s">
        <v>15</v>
      </c>
      <c r="I615" t="s">
        <v>16</v>
      </c>
      <c r="J615">
        <v>1503723600</v>
      </c>
      <c r="K615">
        <v>1504501200</v>
      </c>
      <c r="L615" t="b">
        <v>0</v>
      </c>
      <c r="M615" t="b">
        <v>0</v>
      </c>
      <c r="N615" t="s">
        <v>33</v>
      </c>
      <c r="O615" s="4">
        <f t="shared" si="27"/>
        <v>0.57471264367816088</v>
      </c>
      <c r="P615" t="str">
        <f t="shared" si="28"/>
        <v>theater</v>
      </c>
      <c r="Q615" t="str">
        <f t="shared" si="29"/>
        <v>plays</v>
      </c>
    </row>
    <row r="616" spans="1:17" ht="31.2" x14ac:dyDescent="0.3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t="s">
        <v>20</v>
      </c>
      <c r="G616">
        <v>723</v>
      </c>
      <c r="H616" t="s">
        <v>21</v>
      </c>
      <c r="I616" t="s">
        <v>22</v>
      </c>
      <c r="J616">
        <v>1484114400</v>
      </c>
      <c r="K616">
        <v>1485669600</v>
      </c>
      <c r="L616" t="b">
        <v>0</v>
      </c>
      <c r="M616" t="b">
        <v>0</v>
      </c>
      <c r="N616" t="s">
        <v>33</v>
      </c>
      <c r="O616" s="4">
        <f t="shared" si="27"/>
        <v>0.64312583424341707</v>
      </c>
      <c r="P616" t="str">
        <f t="shared" si="28"/>
        <v>theater</v>
      </c>
      <c r="Q616" t="str">
        <f t="shared" si="29"/>
        <v>plays</v>
      </c>
    </row>
    <row r="617" spans="1:17" x14ac:dyDescent="0.3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t="s">
        <v>20</v>
      </c>
      <c r="G617">
        <v>170</v>
      </c>
      <c r="H617" t="s">
        <v>107</v>
      </c>
      <c r="I617" t="s">
        <v>108</v>
      </c>
      <c r="J617">
        <v>1461906000</v>
      </c>
      <c r="K617">
        <v>1462770000</v>
      </c>
      <c r="L617" t="b">
        <v>0</v>
      </c>
      <c r="M617" t="b">
        <v>0</v>
      </c>
      <c r="N617" t="s">
        <v>33</v>
      </c>
      <c r="O617" s="4">
        <f t="shared" si="27"/>
        <v>0.58669243511871894</v>
      </c>
      <c r="P617" t="str">
        <f t="shared" si="28"/>
        <v>theater</v>
      </c>
      <c r="Q617" t="str">
        <f t="shared" si="29"/>
        <v>plays</v>
      </c>
    </row>
    <row r="618" spans="1:17" x14ac:dyDescent="0.3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t="s">
        <v>20</v>
      </c>
      <c r="G618">
        <v>238</v>
      </c>
      <c r="H618" t="s">
        <v>40</v>
      </c>
      <c r="I618" t="s">
        <v>41</v>
      </c>
      <c r="J618">
        <v>1379653200</v>
      </c>
      <c r="K618">
        <v>1379739600</v>
      </c>
      <c r="L618" t="b">
        <v>0</v>
      </c>
      <c r="M618" t="b">
        <v>1</v>
      </c>
      <c r="N618" t="s">
        <v>60</v>
      </c>
      <c r="O618" s="4">
        <f t="shared" si="27"/>
        <v>0.52766097782174948</v>
      </c>
      <c r="P618" t="str">
        <f t="shared" si="28"/>
        <v>music</v>
      </c>
      <c r="Q618" t="str">
        <f t="shared" si="29"/>
        <v>indie rock</v>
      </c>
    </row>
    <row r="619" spans="1:17" x14ac:dyDescent="0.3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t="s">
        <v>20</v>
      </c>
      <c r="G619">
        <v>55</v>
      </c>
      <c r="H619" t="s">
        <v>21</v>
      </c>
      <c r="I619" t="s">
        <v>22</v>
      </c>
      <c r="J619">
        <v>1401858000</v>
      </c>
      <c r="K619">
        <v>1402722000</v>
      </c>
      <c r="L619" t="b">
        <v>0</v>
      </c>
      <c r="M619" t="b">
        <v>0</v>
      </c>
      <c r="N619" t="s">
        <v>33</v>
      </c>
      <c r="O619" s="4">
        <f t="shared" si="27"/>
        <v>0.40045766590389015</v>
      </c>
      <c r="P619" t="str">
        <f t="shared" si="28"/>
        <v>theater</v>
      </c>
      <c r="Q619" t="str">
        <f t="shared" si="29"/>
        <v>plays</v>
      </c>
    </row>
    <row r="620" spans="1:17" x14ac:dyDescent="0.3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t="s">
        <v>14</v>
      </c>
      <c r="G620">
        <v>1198</v>
      </c>
      <c r="H620" t="s">
        <v>21</v>
      </c>
      <c r="I620" t="s">
        <v>22</v>
      </c>
      <c r="J620">
        <v>1367470800</v>
      </c>
      <c r="K620">
        <v>1369285200</v>
      </c>
      <c r="L620" t="b">
        <v>0</v>
      </c>
      <c r="M620" t="b">
        <v>0</v>
      </c>
      <c r="N620" t="s">
        <v>68</v>
      </c>
      <c r="O620" s="4">
        <f t="shared" si="27"/>
        <v>2.0466420025351155</v>
      </c>
      <c r="P620" t="str">
        <f t="shared" si="28"/>
        <v>publishing</v>
      </c>
      <c r="Q620" t="str">
        <f t="shared" si="29"/>
        <v>nonfiction</v>
      </c>
    </row>
    <row r="621" spans="1:17" x14ac:dyDescent="0.3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t="s">
        <v>14</v>
      </c>
      <c r="G621">
        <v>648</v>
      </c>
      <c r="H621" t="s">
        <v>21</v>
      </c>
      <c r="I621" t="s">
        <v>22</v>
      </c>
      <c r="J621">
        <v>1304658000</v>
      </c>
      <c r="K621">
        <v>1304744400</v>
      </c>
      <c r="L621" t="b">
        <v>1</v>
      </c>
      <c r="M621" t="b">
        <v>1</v>
      </c>
      <c r="N621" t="s">
        <v>33</v>
      </c>
      <c r="O621" s="4">
        <f t="shared" si="27"/>
        <v>3.5134601933389531</v>
      </c>
      <c r="P621" t="str">
        <f t="shared" si="28"/>
        <v>theater</v>
      </c>
      <c r="Q621" t="str">
        <f t="shared" si="29"/>
        <v>plays</v>
      </c>
    </row>
    <row r="622" spans="1:17" x14ac:dyDescent="0.3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t="s">
        <v>20</v>
      </c>
      <c r="G622">
        <v>128</v>
      </c>
      <c r="H622" t="s">
        <v>26</v>
      </c>
      <c r="I622" t="s">
        <v>27</v>
      </c>
      <c r="J622">
        <v>1467954000</v>
      </c>
      <c r="K622">
        <v>1468299600</v>
      </c>
      <c r="L622" t="b">
        <v>0</v>
      </c>
      <c r="M622" t="b">
        <v>0</v>
      </c>
      <c r="N622" t="s">
        <v>122</v>
      </c>
      <c r="O622" s="4">
        <f t="shared" si="27"/>
        <v>0.37310195227765725</v>
      </c>
      <c r="P622" t="str">
        <f t="shared" si="28"/>
        <v>photography</v>
      </c>
      <c r="Q622" t="str">
        <f t="shared" si="29"/>
        <v>photography books</v>
      </c>
    </row>
    <row r="623" spans="1:17" x14ac:dyDescent="0.3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t="s">
        <v>20</v>
      </c>
      <c r="G623">
        <v>2144</v>
      </c>
      <c r="H623" t="s">
        <v>21</v>
      </c>
      <c r="I623" t="s">
        <v>22</v>
      </c>
      <c r="J623">
        <v>1473742800</v>
      </c>
      <c r="K623">
        <v>1474174800</v>
      </c>
      <c r="L623" t="b">
        <v>0</v>
      </c>
      <c r="M623" t="b">
        <v>0</v>
      </c>
      <c r="N623" t="s">
        <v>33</v>
      </c>
      <c r="O623" s="4">
        <f t="shared" si="27"/>
        <v>0.16134216513622698</v>
      </c>
      <c r="P623" t="str">
        <f t="shared" si="28"/>
        <v>theater</v>
      </c>
      <c r="Q623" t="str">
        <f t="shared" si="29"/>
        <v>plays</v>
      </c>
    </row>
    <row r="624" spans="1:17" x14ac:dyDescent="0.3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t="s">
        <v>14</v>
      </c>
      <c r="G624">
        <v>64</v>
      </c>
      <c r="H624" t="s">
        <v>21</v>
      </c>
      <c r="I624" t="s">
        <v>22</v>
      </c>
      <c r="J624">
        <v>1523768400</v>
      </c>
      <c r="K624">
        <v>1526014800</v>
      </c>
      <c r="L624" t="b">
        <v>0</v>
      </c>
      <c r="M624" t="b">
        <v>0</v>
      </c>
      <c r="N624" t="s">
        <v>60</v>
      </c>
      <c r="O624" s="4">
        <f t="shared" si="27"/>
        <v>31.947261663286003</v>
      </c>
      <c r="P624" t="str">
        <f t="shared" si="28"/>
        <v>music</v>
      </c>
      <c r="Q624" t="str">
        <f t="shared" si="29"/>
        <v>indie rock</v>
      </c>
    </row>
    <row r="625" spans="1:17" x14ac:dyDescent="0.3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t="s">
        <v>20</v>
      </c>
      <c r="G625">
        <v>2693</v>
      </c>
      <c r="H625" t="s">
        <v>40</v>
      </c>
      <c r="I625" t="s">
        <v>41</v>
      </c>
      <c r="J625">
        <v>1437022800</v>
      </c>
      <c r="K625">
        <v>1437454800</v>
      </c>
      <c r="L625" t="b">
        <v>0</v>
      </c>
      <c r="M625" t="b">
        <v>0</v>
      </c>
      <c r="N625" t="s">
        <v>33</v>
      </c>
      <c r="O625" s="4">
        <f t="shared" si="27"/>
        <v>0.6253066854103948</v>
      </c>
      <c r="P625" t="str">
        <f t="shared" si="28"/>
        <v>theater</v>
      </c>
      <c r="Q625" t="str">
        <f t="shared" si="29"/>
        <v>plays</v>
      </c>
    </row>
    <row r="626" spans="1:17" x14ac:dyDescent="0.3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t="s">
        <v>20</v>
      </c>
      <c r="G626">
        <v>432</v>
      </c>
      <c r="H626" t="s">
        <v>21</v>
      </c>
      <c r="I626" t="s">
        <v>22</v>
      </c>
      <c r="J626">
        <v>1422165600</v>
      </c>
      <c r="K626">
        <v>1422684000</v>
      </c>
      <c r="L626" t="b">
        <v>0</v>
      </c>
      <c r="M626" t="b">
        <v>0</v>
      </c>
      <c r="N626" t="s">
        <v>122</v>
      </c>
      <c r="O626" s="4">
        <f t="shared" si="27"/>
        <v>0.35791985402484383</v>
      </c>
      <c r="P626" t="str">
        <f t="shared" si="28"/>
        <v>photography</v>
      </c>
      <c r="Q626" t="str">
        <f t="shared" si="29"/>
        <v>photography books</v>
      </c>
    </row>
    <row r="627" spans="1:17" ht="31.2" x14ac:dyDescent="0.3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t="s">
        <v>14</v>
      </c>
      <c r="G627">
        <v>62</v>
      </c>
      <c r="H627" t="s">
        <v>21</v>
      </c>
      <c r="I627" t="s">
        <v>22</v>
      </c>
      <c r="J627">
        <v>1580104800</v>
      </c>
      <c r="K627">
        <v>1581314400</v>
      </c>
      <c r="L627" t="b">
        <v>0</v>
      </c>
      <c r="M627" t="b">
        <v>0</v>
      </c>
      <c r="N627" t="s">
        <v>33</v>
      </c>
      <c r="O627" s="4">
        <f t="shared" si="27"/>
        <v>1.2924349474409789</v>
      </c>
      <c r="P627" t="str">
        <f t="shared" si="28"/>
        <v>theater</v>
      </c>
      <c r="Q627" t="str">
        <f t="shared" si="29"/>
        <v>plays</v>
      </c>
    </row>
    <row r="628" spans="1:17" ht="31.2" x14ac:dyDescent="0.3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t="s">
        <v>20</v>
      </c>
      <c r="G628">
        <v>189</v>
      </c>
      <c r="H628" t="s">
        <v>21</v>
      </c>
      <c r="I628" t="s">
        <v>22</v>
      </c>
      <c r="J628">
        <v>1285650000</v>
      </c>
      <c r="K628">
        <v>1286427600</v>
      </c>
      <c r="L628" t="b">
        <v>0</v>
      </c>
      <c r="M628" t="b">
        <v>1</v>
      </c>
      <c r="N628" t="s">
        <v>33</v>
      </c>
      <c r="O628" s="4">
        <f t="shared" si="27"/>
        <v>0.48466489965921999</v>
      </c>
      <c r="P628" t="str">
        <f t="shared" si="28"/>
        <v>theater</v>
      </c>
      <c r="Q628" t="str">
        <f t="shared" si="29"/>
        <v>plays</v>
      </c>
    </row>
    <row r="629" spans="1:17" x14ac:dyDescent="0.3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t="s">
        <v>20</v>
      </c>
      <c r="G629">
        <v>154</v>
      </c>
      <c r="H629" t="s">
        <v>40</v>
      </c>
      <c r="I629" t="s">
        <v>41</v>
      </c>
      <c r="J629">
        <v>1276664400</v>
      </c>
      <c r="K629">
        <v>1278738000</v>
      </c>
      <c r="L629" t="b">
        <v>1</v>
      </c>
      <c r="M629" t="b">
        <v>0</v>
      </c>
      <c r="N629" t="s">
        <v>17</v>
      </c>
      <c r="O629" s="4">
        <f t="shared" si="27"/>
        <v>0.14404033129276198</v>
      </c>
      <c r="P629" t="str">
        <f t="shared" si="28"/>
        <v>food</v>
      </c>
      <c r="Q629" t="str">
        <f t="shared" si="29"/>
        <v>food trucks</v>
      </c>
    </row>
    <row r="630" spans="1:17" x14ac:dyDescent="0.3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t="s">
        <v>20</v>
      </c>
      <c r="G630">
        <v>96</v>
      </c>
      <c r="H630" t="s">
        <v>21</v>
      </c>
      <c r="I630" t="s">
        <v>22</v>
      </c>
      <c r="J630">
        <v>1286168400</v>
      </c>
      <c r="K630">
        <v>1286427600</v>
      </c>
      <c r="L630" t="b">
        <v>0</v>
      </c>
      <c r="M630" t="b">
        <v>0</v>
      </c>
      <c r="N630" t="s">
        <v>60</v>
      </c>
      <c r="O630" s="4">
        <f t="shared" si="27"/>
        <v>0.6588072122052705</v>
      </c>
      <c r="P630" t="str">
        <f t="shared" si="28"/>
        <v>music</v>
      </c>
      <c r="Q630" t="str">
        <f t="shared" si="29"/>
        <v>indie rock</v>
      </c>
    </row>
    <row r="631" spans="1:17" x14ac:dyDescent="0.3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t="s">
        <v>14</v>
      </c>
      <c r="G631">
        <v>750</v>
      </c>
      <c r="H631" t="s">
        <v>21</v>
      </c>
      <c r="I631" t="s">
        <v>22</v>
      </c>
      <c r="J631">
        <v>1467781200</v>
      </c>
      <c r="K631">
        <v>1467954000</v>
      </c>
      <c r="L631" t="b">
        <v>0</v>
      </c>
      <c r="M631" t="b">
        <v>1</v>
      </c>
      <c r="N631" t="s">
        <v>33</v>
      </c>
      <c r="O631" s="4">
        <f t="shared" si="27"/>
        <v>1.5484173336217464</v>
      </c>
      <c r="P631" t="str">
        <f t="shared" si="28"/>
        <v>theater</v>
      </c>
      <c r="Q631" t="str">
        <f t="shared" si="29"/>
        <v>plays</v>
      </c>
    </row>
    <row r="632" spans="1:17" x14ac:dyDescent="0.3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t="s">
        <v>74</v>
      </c>
      <c r="G632">
        <v>87</v>
      </c>
      <c r="H632" t="s">
        <v>21</v>
      </c>
      <c r="I632" t="s">
        <v>22</v>
      </c>
      <c r="J632">
        <v>1556686800</v>
      </c>
      <c r="K632">
        <v>1557637200</v>
      </c>
      <c r="L632" t="b">
        <v>0</v>
      </c>
      <c r="M632" t="b">
        <v>1</v>
      </c>
      <c r="N632" t="s">
        <v>33</v>
      </c>
      <c r="O632" s="4">
        <f t="shared" si="27"/>
        <v>1.5904905407667838</v>
      </c>
      <c r="P632" t="str">
        <f t="shared" si="28"/>
        <v>theater</v>
      </c>
      <c r="Q632" t="str">
        <f t="shared" si="29"/>
        <v>plays</v>
      </c>
    </row>
    <row r="633" spans="1:17" x14ac:dyDescent="0.3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t="s">
        <v>20</v>
      </c>
      <c r="G633">
        <v>3063</v>
      </c>
      <c r="H633" t="s">
        <v>21</v>
      </c>
      <c r="I633" t="s">
        <v>22</v>
      </c>
      <c r="J633">
        <v>1553576400</v>
      </c>
      <c r="K633">
        <v>1553922000</v>
      </c>
      <c r="L633" t="b">
        <v>0</v>
      </c>
      <c r="M633" t="b">
        <v>0</v>
      </c>
      <c r="N633" t="s">
        <v>33</v>
      </c>
      <c r="O633" s="4">
        <f t="shared" si="27"/>
        <v>0.32216635103071467</v>
      </c>
      <c r="P633" t="str">
        <f t="shared" si="28"/>
        <v>theater</v>
      </c>
      <c r="Q633" t="str">
        <f t="shared" si="29"/>
        <v>plays</v>
      </c>
    </row>
    <row r="634" spans="1:17" x14ac:dyDescent="0.3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t="s">
        <v>47</v>
      </c>
      <c r="G634">
        <v>278</v>
      </c>
      <c r="H634" t="s">
        <v>21</v>
      </c>
      <c r="I634" t="s">
        <v>22</v>
      </c>
      <c r="J634">
        <v>1414904400</v>
      </c>
      <c r="K634">
        <v>1416463200</v>
      </c>
      <c r="L634" t="b">
        <v>0</v>
      </c>
      <c r="M634" t="b">
        <v>0</v>
      </c>
      <c r="N634" t="s">
        <v>33</v>
      </c>
      <c r="O634" s="4">
        <f t="shared" si="27"/>
        <v>2.3331823182965503</v>
      </c>
      <c r="P634" t="str">
        <f t="shared" si="28"/>
        <v>theater</v>
      </c>
      <c r="Q634" t="str">
        <f t="shared" si="29"/>
        <v>plays</v>
      </c>
    </row>
    <row r="635" spans="1:17" ht="31.2" x14ac:dyDescent="0.3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t="s">
        <v>14</v>
      </c>
      <c r="G635">
        <v>105</v>
      </c>
      <c r="H635" t="s">
        <v>21</v>
      </c>
      <c r="I635" t="s">
        <v>22</v>
      </c>
      <c r="J635">
        <v>1446876000</v>
      </c>
      <c r="K635">
        <v>1447221600</v>
      </c>
      <c r="L635" t="b">
        <v>0</v>
      </c>
      <c r="M635" t="b">
        <v>0</v>
      </c>
      <c r="N635" t="s">
        <v>71</v>
      </c>
      <c r="O635" s="4">
        <f t="shared" si="27"/>
        <v>1.2030885257676422</v>
      </c>
      <c r="P635" t="str">
        <f t="shared" si="28"/>
        <v>film &amp; video</v>
      </c>
      <c r="Q635" t="str">
        <f t="shared" si="29"/>
        <v>animation</v>
      </c>
    </row>
    <row r="636" spans="1:17" x14ac:dyDescent="0.3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t="s">
        <v>74</v>
      </c>
      <c r="G636">
        <v>1658</v>
      </c>
      <c r="H636" t="s">
        <v>21</v>
      </c>
      <c r="I636" t="s">
        <v>22</v>
      </c>
      <c r="J636">
        <v>1490418000</v>
      </c>
      <c r="K636">
        <v>1491627600</v>
      </c>
      <c r="L636" t="b">
        <v>0</v>
      </c>
      <c r="M636" t="b">
        <v>0</v>
      </c>
      <c r="N636" t="s">
        <v>269</v>
      </c>
      <c r="O636" s="4">
        <f t="shared" si="27"/>
        <v>1.273377574765147</v>
      </c>
      <c r="P636" t="str">
        <f t="shared" si="28"/>
        <v>film &amp; video</v>
      </c>
      <c r="Q636" t="str">
        <f t="shared" si="29"/>
        <v>television</v>
      </c>
    </row>
    <row r="637" spans="1:17" x14ac:dyDescent="0.3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t="s">
        <v>20</v>
      </c>
      <c r="G637">
        <v>2266</v>
      </c>
      <c r="H637" t="s">
        <v>21</v>
      </c>
      <c r="I637" t="s">
        <v>22</v>
      </c>
      <c r="J637">
        <v>1360389600</v>
      </c>
      <c r="K637">
        <v>1363150800</v>
      </c>
      <c r="L637" t="b">
        <v>0</v>
      </c>
      <c r="M637" t="b">
        <v>0</v>
      </c>
      <c r="N637" t="s">
        <v>269</v>
      </c>
      <c r="O637" s="4">
        <f t="shared" si="27"/>
        <v>0.87647392647707922</v>
      </c>
      <c r="P637" t="str">
        <f t="shared" si="28"/>
        <v>film &amp; video</v>
      </c>
      <c r="Q637" t="str">
        <f t="shared" si="29"/>
        <v>television</v>
      </c>
    </row>
    <row r="638" spans="1:17" x14ac:dyDescent="0.3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t="s">
        <v>14</v>
      </c>
      <c r="G638">
        <v>2604</v>
      </c>
      <c r="H638" t="s">
        <v>36</v>
      </c>
      <c r="I638" t="s">
        <v>37</v>
      </c>
      <c r="J638">
        <v>1326866400</v>
      </c>
      <c r="K638">
        <v>1330754400</v>
      </c>
      <c r="L638" t="b">
        <v>0</v>
      </c>
      <c r="M638" t="b">
        <v>1</v>
      </c>
      <c r="N638" t="s">
        <v>71</v>
      </c>
      <c r="O638" s="4">
        <f t="shared" si="27"/>
        <v>1.5494823302584038</v>
      </c>
      <c r="P638" t="str">
        <f t="shared" si="28"/>
        <v>film &amp; video</v>
      </c>
      <c r="Q638" t="str">
        <f t="shared" si="29"/>
        <v>animation</v>
      </c>
    </row>
    <row r="639" spans="1:17" x14ac:dyDescent="0.3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t="s">
        <v>14</v>
      </c>
      <c r="G639">
        <v>65</v>
      </c>
      <c r="H639" t="s">
        <v>21</v>
      </c>
      <c r="I639" t="s">
        <v>22</v>
      </c>
      <c r="J639">
        <v>1479103200</v>
      </c>
      <c r="K639">
        <v>1479794400</v>
      </c>
      <c r="L639" t="b">
        <v>0</v>
      </c>
      <c r="M639" t="b">
        <v>0</v>
      </c>
      <c r="N639" t="s">
        <v>33</v>
      </c>
      <c r="O639" s="4">
        <f t="shared" si="27"/>
        <v>1.2592592592592593</v>
      </c>
      <c r="P639" t="str">
        <f t="shared" si="28"/>
        <v>theater</v>
      </c>
      <c r="Q639" t="str">
        <f t="shared" si="29"/>
        <v>plays</v>
      </c>
    </row>
    <row r="640" spans="1:17" x14ac:dyDescent="0.3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t="s">
        <v>14</v>
      </c>
      <c r="G640">
        <v>94</v>
      </c>
      <c r="H640" t="s">
        <v>21</v>
      </c>
      <c r="I640" t="s">
        <v>22</v>
      </c>
      <c r="J640">
        <v>1280206800</v>
      </c>
      <c r="K640">
        <v>1281243600</v>
      </c>
      <c r="L640" t="b">
        <v>0</v>
      </c>
      <c r="M640" t="b">
        <v>1</v>
      </c>
      <c r="N640" t="s">
        <v>33</v>
      </c>
      <c r="O640" s="4">
        <f t="shared" si="27"/>
        <v>8.7572440437862209</v>
      </c>
      <c r="P640" t="str">
        <f t="shared" si="28"/>
        <v>theater</v>
      </c>
      <c r="Q640" t="str">
        <f t="shared" si="29"/>
        <v>plays</v>
      </c>
    </row>
    <row r="641" spans="1:17" x14ac:dyDescent="0.3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t="s">
        <v>47</v>
      </c>
      <c r="G641">
        <v>45</v>
      </c>
      <c r="H641" t="s">
        <v>21</v>
      </c>
      <c r="I641" t="s">
        <v>22</v>
      </c>
      <c r="J641">
        <v>1532754000</v>
      </c>
      <c r="K641">
        <v>1532754000</v>
      </c>
      <c r="L641" t="b">
        <v>0</v>
      </c>
      <c r="M641" t="b">
        <v>1</v>
      </c>
      <c r="N641" t="s">
        <v>53</v>
      </c>
      <c r="O641" s="4">
        <f t="shared" si="27"/>
        <v>1.7798013245033113</v>
      </c>
      <c r="P641" t="str">
        <f t="shared" si="28"/>
        <v>film &amp; video</v>
      </c>
      <c r="Q641" t="str">
        <f t="shared" si="29"/>
        <v>drama</v>
      </c>
    </row>
    <row r="642" spans="1:17" x14ac:dyDescent="0.3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t="s">
        <v>14</v>
      </c>
      <c r="G642">
        <v>257</v>
      </c>
      <c r="H642" t="s">
        <v>21</v>
      </c>
      <c r="I642" t="s">
        <v>22</v>
      </c>
      <c r="J642">
        <v>1453096800</v>
      </c>
      <c r="K642">
        <v>1453356000</v>
      </c>
      <c r="L642" t="b">
        <v>0</v>
      </c>
      <c r="M642" t="b">
        <v>0</v>
      </c>
      <c r="N642" t="s">
        <v>33</v>
      </c>
      <c r="O642" s="4">
        <f t="shared" si="27"/>
        <v>6.0599929182052712</v>
      </c>
      <c r="P642" t="str">
        <f t="shared" si="28"/>
        <v>theater</v>
      </c>
      <c r="Q642" t="str">
        <f t="shared" si="29"/>
        <v>plays</v>
      </c>
    </row>
    <row r="643" spans="1:17" ht="31.2" x14ac:dyDescent="0.3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t="s">
        <v>20</v>
      </c>
      <c r="G643">
        <v>194</v>
      </c>
      <c r="H643" t="s">
        <v>98</v>
      </c>
      <c r="I643" t="s">
        <v>99</v>
      </c>
      <c r="J643">
        <v>1487570400</v>
      </c>
      <c r="K643">
        <v>1489986000</v>
      </c>
      <c r="L643" t="b">
        <v>0</v>
      </c>
      <c r="M643" t="b">
        <v>0</v>
      </c>
      <c r="N643" t="s">
        <v>33</v>
      </c>
      <c r="O643" s="4">
        <f t="shared" ref="O643:O706" si="30">D643/E643</f>
        <v>0.83355502349915755</v>
      </c>
      <c r="P643" t="str">
        <f t="shared" ref="P643:P706" si="31">LEFT(N643,SEARCH("/",N643) -1)</f>
        <v>theater</v>
      </c>
      <c r="Q643" t="str">
        <f t="shared" ref="Q643:Q706" si="32">RIGHT(N643,LEN(N643)-SEARCH("/",N643))</f>
        <v>plays</v>
      </c>
    </row>
    <row r="644" spans="1:17" x14ac:dyDescent="0.3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t="s">
        <v>20</v>
      </c>
      <c r="G644">
        <v>129</v>
      </c>
      <c r="H644" t="s">
        <v>15</v>
      </c>
      <c r="I644" t="s">
        <v>16</v>
      </c>
      <c r="J644">
        <v>1545026400</v>
      </c>
      <c r="K644">
        <v>1545804000</v>
      </c>
      <c r="L644" t="b">
        <v>0</v>
      </c>
      <c r="M644" t="b">
        <v>0</v>
      </c>
      <c r="N644" t="s">
        <v>65</v>
      </c>
      <c r="O644" s="4">
        <f t="shared" si="30"/>
        <v>0.68749065909430573</v>
      </c>
      <c r="P644" t="str">
        <f t="shared" si="31"/>
        <v>technology</v>
      </c>
      <c r="Q644" t="str">
        <f t="shared" si="32"/>
        <v>wearables</v>
      </c>
    </row>
    <row r="645" spans="1:17" x14ac:dyDescent="0.3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t="s">
        <v>20</v>
      </c>
      <c r="G645">
        <v>375</v>
      </c>
      <c r="H645" t="s">
        <v>21</v>
      </c>
      <c r="I645" t="s">
        <v>22</v>
      </c>
      <c r="J645">
        <v>1488348000</v>
      </c>
      <c r="K645">
        <v>1489899600</v>
      </c>
      <c r="L645" t="b">
        <v>0</v>
      </c>
      <c r="M645" t="b">
        <v>0</v>
      </c>
      <c r="N645" t="s">
        <v>33</v>
      </c>
      <c r="O645" s="4">
        <f t="shared" si="30"/>
        <v>0.45170678469653791</v>
      </c>
      <c r="P645" t="str">
        <f t="shared" si="31"/>
        <v>theater</v>
      </c>
      <c r="Q645" t="str">
        <f t="shared" si="32"/>
        <v>plays</v>
      </c>
    </row>
    <row r="646" spans="1:17" x14ac:dyDescent="0.3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t="s">
        <v>14</v>
      </c>
      <c r="G646">
        <v>2928</v>
      </c>
      <c r="H646" t="s">
        <v>15</v>
      </c>
      <c r="I646" t="s">
        <v>16</v>
      </c>
      <c r="J646">
        <v>1545112800</v>
      </c>
      <c r="K646">
        <v>1546495200</v>
      </c>
      <c r="L646" t="b">
        <v>0</v>
      </c>
      <c r="M646" t="b">
        <v>0</v>
      </c>
      <c r="N646" t="s">
        <v>33</v>
      </c>
      <c r="O646" s="4">
        <f t="shared" si="30"/>
        <v>2.0662568306010929</v>
      </c>
      <c r="P646" t="str">
        <f t="shared" si="31"/>
        <v>theater</v>
      </c>
      <c r="Q646" t="str">
        <f t="shared" si="32"/>
        <v>plays</v>
      </c>
    </row>
    <row r="647" spans="1:17" x14ac:dyDescent="0.3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t="s">
        <v>14</v>
      </c>
      <c r="G647">
        <v>4697</v>
      </c>
      <c r="H647" t="s">
        <v>21</v>
      </c>
      <c r="I647" t="s">
        <v>22</v>
      </c>
      <c r="J647">
        <v>1537938000</v>
      </c>
      <c r="K647">
        <v>1539752400</v>
      </c>
      <c r="L647" t="b">
        <v>0</v>
      </c>
      <c r="M647" t="b">
        <v>1</v>
      </c>
      <c r="N647" t="s">
        <v>23</v>
      </c>
      <c r="O647" s="4">
        <f t="shared" si="30"/>
        <v>1.0762929802838366</v>
      </c>
      <c r="P647" t="str">
        <f t="shared" si="31"/>
        <v>music</v>
      </c>
      <c r="Q647" t="str">
        <f t="shared" si="32"/>
        <v>rock</v>
      </c>
    </row>
    <row r="648" spans="1:17" x14ac:dyDescent="0.3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t="s">
        <v>14</v>
      </c>
      <c r="G648">
        <v>2915</v>
      </c>
      <c r="H648" t="s">
        <v>21</v>
      </c>
      <c r="I648" t="s">
        <v>22</v>
      </c>
      <c r="J648">
        <v>1363150800</v>
      </c>
      <c r="K648">
        <v>1364101200</v>
      </c>
      <c r="L648" t="b">
        <v>0</v>
      </c>
      <c r="M648" t="b">
        <v>0</v>
      </c>
      <c r="N648" t="s">
        <v>89</v>
      </c>
      <c r="O648" s="4">
        <f t="shared" si="30"/>
        <v>1.1286707529045832</v>
      </c>
      <c r="P648" t="str">
        <f t="shared" si="31"/>
        <v>games</v>
      </c>
      <c r="Q648" t="str">
        <f t="shared" si="32"/>
        <v>video games</v>
      </c>
    </row>
    <row r="649" spans="1:17" x14ac:dyDescent="0.3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t="s">
        <v>14</v>
      </c>
      <c r="G649">
        <v>18</v>
      </c>
      <c r="H649" t="s">
        <v>21</v>
      </c>
      <c r="I649" t="s">
        <v>22</v>
      </c>
      <c r="J649">
        <v>1523250000</v>
      </c>
      <c r="K649">
        <v>1525323600</v>
      </c>
      <c r="L649" t="b">
        <v>0</v>
      </c>
      <c r="M649" t="b">
        <v>0</v>
      </c>
      <c r="N649" t="s">
        <v>206</v>
      </c>
      <c r="O649" s="4">
        <f t="shared" si="30"/>
        <v>2.4154589371980677</v>
      </c>
      <c r="P649" t="str">
        <f t="shared" si="31"/>
        <v>publishing</v>
      </c>
      <c r="Q649" t="str">
        <f t="shared" si="32"/>
        <v>translations</v>
      </c>
    </row>
    <row r="650" spans="1:17" x14ac:dyDescent="0.3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t="s">
        <v>74</v>
      </c>
      <c r="G650">
        <v>723</v>
      </c>
      <c r="H650" t="s">
        <v>21</v>
      </c>
      <c r="I650" t="s">
        <v>22</v>
      </c>
      <c r="J650">
        <v>1499317200</v>
      </c>
      <c r="K650">
        <v>1500872400</v>
      </c>
      <c r="L650" t="b">
        <v>1</v>
      </c>
      <c r="M650" t="b">
        <v>0</v>
      </c>
      <c r="N650" t="s">
        <v>17</v>
      </c>
      <c r="O650" s="4">
        <f t="shared" si="30"/>
        <v>1.5858719078714576</v>
      </c>
      <c r="P650" t="str">
        <f t="shared" si="31"/>
        <v>food</v>
      </c>
      <c r="Q650" t="str">
        <f t="shared" si="32"/>
        <v>food trucks</v>
      </c>
    </row>
    <row r="651" spans="1:17" x14ac:dyDescent="0.3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t="s">
        <v>14</v>
      </c>
      <c r="G651">
        <v>602</v>
      </c>
      <c r="H651" t="s">
        <v>98</v>
      </c>
      <c r="I651" t="s">
        <v>99</v>
      </c>
      <c r="J651">
        <v>1287550800</v>
      </c>
      <c r="K651">
        <v>1288501200</v>
      </c>
      <c r="L651" t="b">
        <v>1</v>
      </c>
      <c r="M651" t="b">
        <v>1</v>
      </c>
      <c r="N651" t="s">
        <v>33</v>
      </c>
      <c r="O651" s="4">
        <f t="shared" si="30"/>
        <v>2.0626069860854535</v>
      </c>
      <c r="P651" t="str">
        <f t="shared" si="31"/>
        <v>theater</v>
      </c>
      <c r="Q651" t="str">
        <f t="shared" si="32"/>
        <v>plays</v>
      </c>
    </row>
    <row r="652" spans="1:17" x14ac:dyDescent="0.3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t="s">
        <v>14</v>
      </c>
      <c r="G652">
        <v>1</v>
      </c>
      <c r="H652" t="s">
        <v>21</v>
      </c>
      <c r="I652" t="s">
        <v>22</v>
      </c>
      <c r="J652">
        <v>1404795600</v>
      </c>
      <c r="K652">
        <v>1407128400</v>
      </c>
      <c r="L652" t="b">
        <v>0</v>
      </c>
      <c r="M652" t="b">
        <v>0</v>
      </c>
      <c r="N652" t="s">
        <v>159</v>
      </c>
      <c r="O652" s="4">
        <f t="shared" si="30"/>
        <v>50</v>
      </c>
      <c r="P652" t="str">
        <f t="shared" si="31"/>
        <v>music</v>
      </c>
      <c r="Q652" t="str">
        <f t="shared" si="32"/>
        <v>jazz</v>
      </c>
    </row>
    <row r="653" spans="1:17" x14ac:dyDescent="0.3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t="s">
        <v>14</v>
      </c>
      <c r="G653">
        <v>3868</v>
      </c>
      <c r="H653" t="s">
        <v>107</v>
      </c>
      <c r="I653" t="s">
        <v>108</v>
      </c>
      <c r="J653">
        <v>1393048800</v>
      </c>
      <c r="K653">
        <v>1394344800</v>
      </c>
      <c r="L653" t="b">
        <v>0</v>
      </c>
      <c r="M653" t="b">
        <v>0</v>
      </c>
      <c r="N653" t="s">
        <v>100</v>
      </c>
      <c r="O653" s="4">
        <f t="shared" si="30"/>
        <v>1.1302064479800504</v>
      </c>
      <c r="P653" t="str">
        <f t="shared" si="31"/>
        <v>film &amp; video</v>
      </c>
      <c r="Q653" t="str">
        <f t="shared" si="32"/>
        <v>shorts</v>
      </c>
    </row>
    <row r="654" spans="1:17" x14ac:dyDescent="0.3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t="s">
        <v>20</v>
      </c>
      <c r="G654">
        <v>409</v>
      </c>
      <c r="H654" t="s">
        <v>21</v>
      </c>
      <c r="I654" t="s">
        <v>22</v>
      </c>
      <c r="J654">
        <v>1470373200</v>
      </c>
      <c r="K654">
        <v>1474088400</v>
      </c>
      <c r="L654" t="b">
        <v>0</v>
      </c>
      <c r="M654" t="b">
        <v>0</v>
      </c>
      <c r="N654" t="s">
        <v>28</v>
      </c>
      <c r="O654" s="4">
        <f t="shared" si="30"/>
        <v>0.78839482812992745</v>
      </c>
      <c r="P654" t="str">
        <f t="shared" si="31"/>
        <v>technology</v>
      </c>
      <c r="Q654" t="str">
        <f t="shared" si="32"/>
        <v>web</v>
      </c>
    </row>
    <row r="655" spans="1:17" ht="31.2" x14ac:dyDescent="0.3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t="s">
        <v>20</v>
      </c>
      <c r="G655">
        <v>234</v>
      </c>
      <c r="H655" t="s">
        <v>21</v>
      </c>
      <c r="I655" t="s">
        <v>22</v>
      </c>
      <c r="J655">
        <v>1460091600</v>
      </c>
      <c r="K655">
        <v>1460264400</v>
      </c>
      <c r="L655" t="b">
        <v>0</v>
      </c>
      <c r="M655" t="b">
        <v>0</v>
      </c>
      <c r="N655" t="s">
        <v>28</v>
      </c>
      <c r="O655" s="4">
        <f t="shared" si="30"/>
        <v>4.2756360008551271E-2</v>
      </c>
      <c r="P655" t="str">
        <f t="shared" si="31"/>
        <v>technology</v>
      </c>
      <c r="Q655" t="str">
        <f t="shared" si="32"/>
        <v>web</v>
      </c>
    </row>
    <row r="656" spans="1:17" x14ac:dyDescent="0.3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t="s">
        <v>20</v>
      </c>
      <c r="G656">
        <v>3016</v>
      </c>
      <c r="H656" t="s">
        <v>21</v>
      </c>
      <c r="I656" t="s">
        <v>22</v>
      </c>
      <c r="J656">
        <v>1440392400</v>
      </c>
      <c r="K656">
        <v>1440824400</v>
      </c>
      <c r="L656" t="b">
        <v>0</v>
      </c>
      <c r="M656" t="b">
        <v>0</v>
      </c>
      <c r="N656" t="s">
        <v>148</v>
      </c>
      <c r="O656" s="4">
        <f t="shared" si="30"/>
        <v>0.19669993705602015</v>
      </c>
      <c r="P656" t="str">
        <f t="shared" si="31"/>
        <v>music</v>
      </c>
      <c r="Q656" t="str">
        <f t="shared" si="32"/>
        <v>metal</v>
      </c>
    </row>
    <row r="657" spans="1:17" x14ac:dyDescent="0.3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t="s">
        <v>20</v>
      </c>
      <c r="G657">
        <v>264</v>
      </c>
      <c r="H657" t="s">
        <v>21</v>
      </c>
      <c r="I657" t="s">
        <v>22</v>
      </c>
      <c r="J657">
        <v>1488434400</v>
      </c>
      <c r="K657">
        <v>1489554000</v>
      </c>
      <c r="L657" t="b">
        <v>1</v>
      </c>
      <c r="M657" t="b">
        <v>0</v>
      </c>
      <c r="N657" t="s">
        <v>122</v>
      </c>
      <c r="O657" s="4">
        <f t="shared" si="30"/>
        <v>0.52225249772933702</v>
      </c>
      <c r="P657" t="str">
        <f t="shared" si="31"/>
        <v>photography</v>
      </c>
      <c r="Q657" t="str">
        <f t="shared" si="32"/>
        <v>photography books</v>
      </c>
    </row>
    <row r="658" spans="1:17" ht="31.2" x14ac:dyDescent="0.3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t="s">
        <v>14</v>
      </c>
      <c r="G658">
        <v>504</v>
      </c>
      <c r="H658" t="s">
        <v>26</v>
      </c>
      <c r="I658" t="s">
        <v>27</v>
      </c>
      <c r="J658">
        <v>1514440800</v>
      </c>
      <c r="K658">
        <v>1514872800</v>
      </c>
      <c r="L658" t="b">
        <v>0</v>
      </c>
      <c r="M658" t="b">
        <v>0</v>
      </c>
      <c r="N658" t="s">
        <v>17</v>
      </c>
      <c r="O658" s="4">
        <f t="shared" si="30"/>
        <v>2.3737444615970649</v>
      </c>
      <c r="P658" t="str">
        <f t="shared" si="31"/>
        <v>food</v>
      </c>
      <c r="Q658" t="str">
        <f t="shared" si="32"/>
        <v>food trucks</v>
      </c>
    </row>
    <row r="659" spans="1:17" x14ac:dyDescent="0.3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t="s">
        <v>14</v>
      </c>
      <c r="G659">
        <v>14</v>
      </c>
      <c r="H659" t="s">
        <v>21</v>
      </c>
      <c r="I659" t="s">
        <v>22</v>
      </c>
      <c r="J659">
        <v>1514354400</v>
      </c>
      <c r="K659">
        <v>1515736800</v>
      </c>
      <c r="L659" t="b">
        <v>0</v>
      </c>
      <c r="M659" t="b">
        <v>0</v>
      </c>
      <c r="N659" t="s">
        <v>474</v>
      </c>
      <c r="O659" s="4">
        <f t="shared" si="30"/>
        <v>12.135922330097088</v>
      </c>
      <c r="P659" t="str">
        <f t="shared" si="31"/>
        <v>film &amp; video</v>
      </c>
      <c r="Q659" t="str">
        <f t="shared" si="32"/>
        <v>science fiction</v>
      </c>
    </row>
    <row r="660" spans="1:17" x14ac:dyDescent="0.3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t="s">
        <v>74</v>
      </c>
      <c r="G660">
        <v>390</v>
      </c>
      <c r="H660" t="s">
        <v>21</v>
      </c>
      <c r="I660" t="s">
        <v>22</v>
      </c>
      <c r="J660">
        <v>1440910800</v>
      </c>
      <c r="K660">
        <v>1442898000</v>
      </c>
      <c r="L660" t="b">
        <v>0</v>
      </c>
      <c r="M660" t="b">
        <v>0</v>
      </c>
      <c r="N660" t="s">
        <v>23</v>
      </c>
      <c r="O660" s="4">
        <f t="shared" si="30"/>
        <v>1.6648730771665505</v>
      </c>
      <c r="P660" t="str">
        <f t="shared" si="31"/>
        <v>music</v>
      </c>
      <c r="Q660" t="str">
        <f t="shared" si="32"/>
        <v>rock</v>
      </c>
    </row>
    <row r="661" spans="1:17" x14ac:dyDescent="0.3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t="s">
        <v>14</v>
      </c>
      <c r="G661">
        <v>750</v>
      </c>
      <c r="H661" t="s">
        <v>40</v>
      </c>
      <c r="I661" t="s">
        <v>41</v>
      </c>
      <c r="J661">
        <v>1296108000</v>
      </c>
      <c r="K661">
        <v>1296194400</v>
      </c>
      <c r="L661" t="b">
        <v>0</v>
      </c>
      <c r="M661" t="b">
        <v>0</v>
      </c>
      <c r="N661" t="s">
        <v>42</v>
      </c>
      <c r="O661" s="4">
        <f t="shared" si="30"/>
        <v>2.1171724258901947</v>
      </c>
      <c r="P661" t="str">
        <f t="shared" si="31"/>
        <v>film &amp; video</v>
      </c>
      <c r="Q661" t="str">
        <f t="shared" si="32"/>
        <v>documentary</v>
      </c>
    </row>
    <row r="662" spans="1:17" x14ac:dyDescent="0.3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t="s">
        <v>14</v>
      </c>
      <c r="G662">
        <v>77</v>
      </c>
      <c r="H662" t="s">
        <v>21</v>
      </c>
      <c r="I662" t="s">
        <v>22</v>
      </c>
      <c r="J662">
        <v>1440133200</v>
      </c>
      <c r="K662">
        <v>1440910800</v>
      </c>
      <c r="L662" t="b">
        <v>1</v>
      </c>
      <c r="M662" t="b">
        <v>0</v>
      </c>
      <c r="N662" t="s">
        <v>33</v>
      </c>
      <c r="O662" s="4">
        <f t="shared" si="30"/>
        <v>1.2234471632159183</v>
      </c>
      <c r="P662" t="str">
        <f t="shared" si="31"/>
        <v>theater</v>
      </c>
      <c r="Q662" t="str">
        <f t="shared" si="32"/>
        <v>plays</v>
      </c>
    </row>
    <row r="663" spans="1:17" x14ac:dyDescent="0.3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t="s">
        <v>14</v>
      </c>
      <c r="G663">
        <v>752</v>
      </c>
      <c r="H663" t="s">
        <v>36</v>
      </c>
      <c r="I663" t="s">
        <v>37</v>
      </c>
      <c r="J663">
        <v>1332910800</v>
      </c>
      <c r="K663">
        <v>1335502800</v>
      </c>
      <c r="L663" t="b">
        <v>0</v>
      </c>
      <c r="M663" t="b">
        <v>0</v>
      </c>
      <c r="N663" t="s">
        <v>159</v>
      </c>
      <c r="O663" s="4">
        <f t="shared" si="30"/>
        <v>1.8454520320707768</v>
      </c>
      <c r="P663" t="str">
        <f t="shared" si="31"/>
        <v>music</v>
      </c>
      <c r="Q663" t="str">
        <f t="shared" si="32"/>
        <v>jazz</v>
      </c>
    </row>
    <row r="664" spans="1:17" x14ac:dyDescent="0.3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t="s">
        <v>14</v>
      </c>
      <c r="G664">
        <v>131</v>
      </c>
      <c r="H664" t="s">
        <v>21</v>
      </c>
      <c r="I664" t="s">
        <v>22</v>
      </c>
      <c r="J664">
        <v>1544335200</v>
      </c>
      <c r="K664">
        <v>1544680800</v>
      </c>
      <c r="L664" t="b">
        <v>0</v>
      </c>
      <c r="M664" t="b">
        <v>0</v>
      </c>
      <c r="N664" t="s">
        <v>33</v>
      </c>
      <c r="O664" s="4">
        <f t="shared" si="30"/>
        <v>1.0217830675948798</v>
      </c>
      <c r="P664" t="str">
        <f t="shared" si="31"/>
        <v>theater</v>
      </c>
      <c r="Q664" t="str">
        <f t="shared" si="32"/>
        <v>plays</v>
      </c>
    </row>
    <row r="665" spans="1:17" x14ac:dyDescent="0.3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t="s">
        <v>14</v>
      </c>
      <c r="G665">
        <v>87</v>
      </c>
      <c r="H665" t="s">
        <v>21</v>
      </c>
      <c r="I665" t="s">
        <v>22</v>
      </c>
      <c r="J665">
        <v>1286427600</v>
      </c>
      <c r="K665">
        <v>1288414800</v>
      </c>
      <c r="L665" t="b">
        <v>0</v>
      </c>
      <c r="M665" t="b">
        <v>0</v>
      </c>
      <c r="N665" t="s">
        <v>33</v>
      </c>
      <c r="O665" s="4">
        <f t="shared" si="30"/>
        <v>1.294665976178146</v>
      </c>
      <c r="P665" t="str">
        <f t="shared" si="31"/>
        <v>theater</v>
      </c>
      <c r="Q665" t="str">
        <f t="shared" si="32"/>
        <v>plays</v>
      </c>
    </row>
    <row r="666" spans="1:17" x14ac:dyDescent="0.3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t="s">
        <v>14</v>
      </c>
      <c r="G666">
        <v>1063</v>
      </c>
      <c r="H666" t="s">
        <v>21</v>
      </c>
      <c r="I666" t="s">
        <v>22</v>
      </c>
      <c r="J666">
        <v>1329717600</v>
      </c>
      <c r="K666">
        <v>1330581600</v>
      </c>
      <c r="L666" t="b">
        <v>0</v>
      </c>
      <c r="M666" t="b">
        <v>0</v>
      </c>
      <c r="N666" t="s">
        <v>159</v>
      </c>
      <c r="O666" s="4">
        <f t="shared" si="30"/>
        <v>2.9882202401113998</v>
      </c>
      <c r="P666" t="str">
        <f t="shared" si="31"/>
        <v>music</v>
      </c>
      <c r="Q666" t="str">
        <f t="shared" si="32"/>
        <v>jazz</v>
      </c>
    </row>
    <row r="667" spans="1:17" x14ac:dyDescent="0.3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t="s">
        <v>20</v>
      </c>
      <c r="G667">
        <v>272</v>
      </c>
      <c r="H667" t="s">
        <v>21</v>
      </c>
      <c r="I667" t="s">
        <v>22</v>
      </c>
      <c r="J667">
        <v>1310187600</v>
      </c>
      <c r="K667">
        <v>1311397200</v>
      </c>
      <c r="L667" t="b">
        <v>0</v>
      </c>
      <c r="M667" t="b">
        <v>1</v>
      </c>
      <c r="N667" t="s">
        <v>42</v>
      </c>
      <c r="O667" s="4">
        <f t="shared" si="30"/>
        <v>0.41738276454701695</v>
      </c>
      <c r="P667" t="str">
        <f t="shared" si="31"/>
        <v>film &amp; video</v>
      </c>
      <c r="Q667" t="str">
        <f t="shared" si="32"/>
        <v>documentary</v>
      </c>
    </row>
    <row r="668" spans="1:17" x14ac:dyDescent="0.3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t="s">
        <v>74</v>
      </c>
      <c r="G668">
        <v>25</v>
      </c>
      <c r="H668" t="s">
        <v>21</v>
      </c>
      <c r="I668" t="s">
        <v>22</v>
      </c>
      <c r="J668">
        <v>1377838800</v>
      </c>
      <c r="K668">
        <v>1378357200</v>
      </c>
      <c r="L668" t="b">
        <v>0</v>
      </c>
      <c r="M668" t="b">
        <v>1</v>
      </c>
      <c r="N668" t="s">
        <v>33</v>
      </c>
      <c r="O668" s="4">
        <f t="shared" si="30"/>
        <v>1.5617128463476071</v>
      </c>
      <c r="P668" t="str">
        <f t="shared" si="31"/>
        <v>theater</v>
      </c>
      <c r="Q668" t="str">
        <f t="shared" si="32"/>
        <v>plays</v>
      </c>
    </row>
    <row r="669" spans="1:17" ht="31.2" x14ac:dyDescent="0.3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t="s">
        <v>20</v>
      </c>
      <c r="G669">
        <v>419</v>
      </c>
      <c r="H669" t="s">
        <v>21</v>
      </c>
      <c r="I669" t="s">
        <v>22</v>
      </c>
      <c r="J669">
        <v>1410325200</v>
      </c>
      <c r="K669">
        <v>1411102800</v>
      </c>
      <c r="L669" t="b">
        <v>0</v>
      </c>
      <c r="M669" t="b">
        <v>0</v>
      </c>
      <c r="N669" t="s">
        <v>1029</v>
      </c>
      <c r="O669" s="4">
        <f t="shared" si="30"/>
        <v>0.56766762649115587</v>
      </c>
      <c r="P669" t="str">
        <f t="shared" si="31"/>
        <v>journalism</v>
      </c>
      <c r="Q669" t="str">
        <f t="shared" si="32"/>
        <v>audio</v>
      </c>
    </row>
    <row r="670" spans="1:17" ht="31.2" x14ac:dyDescent="0.3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t="s">
        <v>14</v>
      </c>
      <c r="G670">
        <v>76</v>
      </c>
      <c r="H670" t="s">
        <v>21</v>
      </c>
      <c r="I670" t="s">
        <v>22</v>
      </c>
      <c r="J670">
        <v>1343797200</v>
      </c>
      <c r="K670">
        <v>1344834000</v>
      </c>
      <c r="L670" t="b">
        <v>0</v>
      </c>
      <c r="M670" t="b">
        <v>0</v>
      </c>
      <c r="N670" t="s">
        <v>33</v>
      </c>
      <c r="O670" s="4">
        <f t="shared" si="30"/>
        <v>4.9168603611657433</v>
      </c>
      <c r="P670" t="str">
        <f t="shared" si="31"/>
        <v>theater</v>
      </c>
      <c r="Q670" t="str">
        <f t="shared" si="32"/>
        <v>plays</v>
      </c>
    </row>
    <row r="671" spans="1:17" x14ac:dyDescent="0.3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t="s">
        <v>20</v>
      </c>
      <c r="G671">
        <v>1621</v>
      </c>
      <c r="H671" t="s">
        <v>107</v>
      </c>
      <c r="I671" t="s">
        <v>108</v>
      </c>
      <c r="J671">
        <v>1498453200</v>
      </c>
      <c r="K671">
        <v>1499230800</v>
      </c>
      <c r="L671" t="b">
        <v>0</v>
      </c>
      <c r="M671" t="b">
        <v>0</v>
      </c>
      <c r="N671" t="s">
        <v>33</v>
      </c>
      <c r="O671" s="4">
        <f t="shared" si="30"/>
        <v>0.27882527711118732</v>
      </c>
      <c r="P671" t="str">
        <f t="shared" si="31"/>
        <v>theater</v>
      </c>
      <c r="Q671" t="str">
        <f t="shared" si="32"/>
        <v>plays</v>
      </c>
    </row>
    <row r="672" spans="1:17" ht="31.2" x14ac:dyDescent="0.3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t="s">
        <v>20</v>
      </c>
      <c r="G672">
        <v>1101</v>
      </c>
      <c r="H672" t="s">
        <v>21</v>
      </c>
      <c r="I672" t="s">
        <v>22</v>
      </c>
      <c r="J672">
        <v>1456380000</v>
      </c>
      <c r="K672">
        <v>1457416800</v>
      </c>
      <c r="L672" t="b">
        <v>0</v>
      </c>
      <c r="M672" t="b">
        <v>0</v>
      </c>
      <c r="N672" t="s">
        <v>60</v>
      </c>
      <c r="O672" s="4">
        <f t="shared" si="30"/>
        <v>0.21328418142321112</v>
      </c>
      <c r="P672" t="str">
        <f t="shared" si="31"/>
        <v>music</v>
      </c>
      <c r="Q672" t="str">
        <f t="shared" si="32"/>
        <v>indie rock</v>
      </c>
    </row>
    <row r="673" spans="1:17" ht="31.2" x14ac:dyDescent="0.3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t="s">
        <v>20</v>
      </c>
      <c r="G673">
        <v>1073</v>
      </c>
      <c r="H673" t="s">
        <v>21</v>
      </c>
      <c r="I673" t="s">
        <v>22</v>
      </c>
      <c r="J673">
        <v>1280552400</v>
      </c>
      <c r="K673">
        <v>1280898000</v>
      </c>
      <c r="L673" t="b">
        <v>0</v>
      </c>
      <c r="M673" t="b">
        <v>1</v>
      </c>
      <c r="N673" t="s">
        <v>33</v>
      </c>
      <c r="O673" s="4">
        <f t="shared" si="30"/>
        <v>0.8192936949641979</v>
      </c>
      <c r="P673" t="str">
        <f t="shared" si="31"/>
        <v>theater</v>
      </c>
      <c r="Q673" t="str">
        <f t="shared" si="32"/>
        <v>plays</v>
      </c>
    </row>
    <row r="674" spans="1:17" x14ac:dyDescent="0.3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t="s">
        <v>14</v>
      </c>
      <c r="G674">
        <v>4428</v>
      </c>
      <c r="H674" t="s">
        <v>26</v>
      </c>
      <c r="I674" t="s">
        <v>27</v>
      </c>
      <c r="J674">
        <v>1521608400</v>
      </c>
      <c r="K674">
        <v>1522472400</v>
      </c>
      <c r="L674" t="b">
        <v>0</v>
      </c>
      <c r="M674" t="b">
        <v>0</v>
      </c>
      <c r="N674" t="s">
        <v>33</v>
      </c>
      <c r="O674" s="4">
        <f t="shared" si="30"/>
        <v>1.787892202477211</v>
      </c>
      <c r="P674" t="str">
        <f t="shared" si="31"/>
        <v>theater</v>
      </c>
      <c r="Q674" t="str">
        <f t="shared" si="32"/>
        <v>plays</v>
      </c>
    </row>
    <row r="675" spans="1:17" x14ac:dyDescent="0.3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t="s">
        <v>14</v>
      </c>
      <c r="G675">
        <v>58</v>
      </c>
      <c r="H675" t="s">
        <v>107</v>
      </c>
      <c r="I675" t="s">
        <v>108</v>
      </c>
      <c r="J675">
        <v>1460696400</v>
      </c>
      <c r="K675">
        <v>1462510800</v>
      </c>
      <c r="L675" t="b">
        <v>0</v>
      </c>
      <c r="M675" t="b">
        <v>0</v>
      </c>
      <c r="N675" t="s">
        <v>60</v>
      </c>
      <c r="O675" s="4">
        <f t="shared" si="30"/>
        <v>2.2903885480572597</v>
      </c>
      <c r="P675" t="str">
        <f t="shared" si="31"/>
        <v>music</v>
      </c>
      <c r="Q675" t="str">
        <f t="shared" si="32"/>
        <v>indie rock</v>
      </c>
    </row>
    <row r="676" spans="1:17" x14ac:dyDescent="0.3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t="s">
        <v>74</v>
      </c>
      <c r="G676">
        <v>1218</v>
      </c>
      <c r="H676" t="s">
        <v>21</v>
      </c>
      <c r="I676" t="s">
        <v>22</v>
      </c>
      <c r="J676">
        <v>1313730000</v>
      </c>
      <c r="K676">
        <v>1317790800</v>
      </c>
      <c r="L676" t="b">
        <v>0</v>
      </c>
      <c r="M676" t="b">
        <v>0</v>
      </c>
      <c r="N676" t="s">
        <v>122</v>
      </c>
      <c r="O676" s="4">
        <f t="shared" si="30"/>
        <v>2.9816593886462881</v>
      </c>
      <c r="P676" t="str">
        <f t="shared" si="31"/>
        <v>photography</v>
      </c>
      <c r="Q676" t="str">
        <f t="shared" si="32"/>
        <v>photography books</v>
      </c>
    </row>
    <row r="677" spans="1:17" x14ac:dyDescent="0.3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t="s">
        <v>20</v>
      </c>
      <c r="G677">
        <v>331</v>
      </c>
      <c r="H677" t="s">
        <v>21</v>
      </c>
      <c r="I677" t="s">
        <v>22</v>
      </c>
      <c r="J677">
        <v>1568178000</v>
      </c>
      <c r="K677">
        <v>1568782800</v>
      </c>
      <c r="L677" t="b">
        <v>0</v>
      </c>
      <c r="M677" t="b">
        <v>0</v>
      </c>
      <c r="N677" t="s">
        <v>1029</v>
      </c>
      <c r="O677" s="4">
        <f t="shared" si="30"/>
        <v>0.81314443792438595</v>
      </c>
      <c r="P677" t="str">
        <f t="shared" si="31"/>
        <v>journalism</v>
      </c>
      <c r="Q677" t="str">
        <f t="shared" si="32"/>
        <v>audio</v>
      </c>
    </row>
    <row r="678" spans="1:17" x14ac:dyDescent="0.3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t="s">
        <v>20</v>
      </c>
      <c r="G678">
        <v>1170</v>
      </c>
      <c r="H678" t="s">
        <v>21</v>
      </c>
      <c r="I678" t="s">
        <v>22</v>
      </c>
      <c r="J678">
        <v>1348635600</v>
      </c>
      <c r="K678">
        <v>1349413200</v>
      </c>
      <c r="L678" t="b">
        <v>0</v>
      </c>
      <c r="M678" t="b">
        <v>0</v>
      </c>
      <c r="N678" t="s">
        <v>122</v>
      </c>
      <c r="O678" s="4">
        <f t="shared" si="30"/>
        <v>0.52701033718510493</v>
      </c>
      <c r="P678" t="str">
        <f t="shared" si="31"/>
        <v>photography</v>
      </c>
      <c r="Q678" t="str">
        <f t="shared" si="32"/>
        <v>photography books</v>
      </c>
    </row>
    <row r="679" spans="1:17" x14ac:dyDescent="0.3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t="s">
        <v>14</v>
      </c>
      <c r="G679">
        <v>111</v>
      </c>
      <c r="H679" t="s">
        <v>21</v>
      </c>
      <c r="I679" t="s">
        <v>22</v>
      </c>
      <c r="J679">
        <v>1468126800</v>
      </c>
      <c r="K679">
        <v>1472446800</v>
      </c>
      <c r="L679" t="b">
        <v>0</v>
      </c>
      <c r="M679" t="b">
        <v>0</v>
      </c>
      <c r="N679" t="s">
        <v>119</v>
      </c>
      <c r="O679" s="4">
        <f t="shared" si="30"/>
        <v>1.1958483754512634</v>
      </c>
      <c r="P679" t="str">
        <f t="shared" si="31"/>
        <v>publishing</v>
      </c>
      <c r="Q679" t="str">
        <f t="shared" si="32"/>
        <v>fiction</v>
      </c>
    </row>
    <row r="680" spans="1:17" x14ac:dyDescent="0.3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t="s">
        <v>74</v>
      </c>
      <c r="G680">
        <v>215</v>
      </c>
      <c r="H680" t="s">
        <v>21</v>
      </c>
      <c r="I680" t="s">
        <v>22</v>
      </c>
      <c r="J680">
        <v>1547877600</v>
      </c>
      <c r="K680">
        <v>1548050400</v>
      </c>
      <c r="L680" t="b">
        <v>0</v>
      </c>
      <c r="M680" t="b">
        <v>0</v>
      </c>
      <c r="N680" t="s">
        <v>53</v>
      </c>
      <c r="O680" s="4">
        <f t="shared" si="30"/>
        <v>5.5651882096314109</v>
      </c>
      <c r="P680" t="str">
        <f t="shared" si="31"/>
        <v>film &amp; video</v>
      </c>
      <c r="Q680" t="str">
        <f t="shared" si="32"/>
        <v>drama</v>
      </c>
    </row>
    <row r="681" spans="1:17" x14ac:dyDescent="0.3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t="s">
        <v>20</v>
      </c>
      <c r="G681">
        <v>363</v>
      </c>
      <c r="H681" t="s">
        <v>21</v>
      </c>
      <c r="I681" t="s">
        <v>22</v>
      </c>
      <c r="J681">
        <v>1571374800</v>
      </c>
      <c r="K681">
        <v>1571806800</v>
      </c>
      <c r="L681" t="b">
        <v>0</v>
      </c>
      <c r="M681" t="b">
        <v>1</v>
      </c>
      <c r="N681" t="s">
        <v>17</v>
      </c>
      <c r="O681" s="4">
        <f t="shared" si="30"/>
        <v>9.6478533526290405E-2</v>
      </c>
      <c r="P681" t="str">
        <f t="shared" si="31"/>
        <v>food</v>
      </c>
      <c r="Q681" t="str">
        <f t="shared" si="32"/>
        <v>food trucks</v>
      </c>
    </row>
    <row r="682" spans="1:17" ht="31.2" x14ac:dyDescent="0.3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t="s">
        <v>14</v>
      </c>
      <c r="G682">
        <v>2955</v>
      </c>
      <c r="H682" t="s">
        <v>21</v>
      </c>
      <c r="I682" t="s">
        <v>22</v>
      </c>
      <c r="J682">
        <v>1576303200</v>
      </c>
      <c r="K682">
        <v>1576476000</v>
      </c>
      <c r="L682" t="b">
        <v>0</v>
      </c>
      <c r="M682" t="b">
        <v>1</v>
      </c>
      <c r="N682" t="s">
        <v>292</v>
      </c>
      <c r="O682" s="4">
        <f t="shared" si="30"/>
        <v>1.026639026385187</v>
      </c>
      <c r="P682" t="str">
        <f t="shared" si="31"/>
        <v>games</v>
      </c>
      <c r="Q682" t="str">
        <f t="shared" si="32"/>
        <v>mobile games</v>
      </c>
    </row>
    <row r="683" spans="1:17" ht="31.2" x14ac:dyDescent="0.3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t="s">
        <v>14</v>
      </c>
      <c r="G683">
        <v>1657</v>
      </c>
      <c r="H683" t="s">
        <v>21</v>
      </c>
      <c r="I683" t="s">
        <v>22</v>
      </c>
      <c r="J683">
        <v>1324447200</v>
      </c>
      <c r="K683">
        <v>1324965600</v>
      </c>
      <c r="L683" t="b">
        <v>0</v>
      </c>
      <c r="M683" t="b">
        <v>0</v>
      </c>
      <c r="N683" t="s">
        <v>33</v>
      </c>
      <c r="O683" s="4">
        <f t="shared" si="30"/>
        <v>1.1575922584052767</v>
      </c>
      <c r="P683" t="str">
        <f t="shared" si="31"/>
        <v>theater</v>
      </c>
      <c r="Q683" t="str">
        <f t="shared" si="32"/>
        <v>plays</v>
      </c>
    </row>
    <row r="684" spans="1:17" x14ac:dyDescent="0.3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t="s">
        <v>20</v>
      </c>
      <c r="G684">
        <v>103</v>
      </c>
      <c r="H684" t="s">
        <v>21</v>
      </c>
      <c r="I684" t="s">
        <v>22</v>
      </c>
      <c r="J684">
        <v>1386741600</v>
      </c>
      <c r="K684">
        <v>1387519200</v>
      </c>
      <c r="L684" t="b">
        <v>0</v>
      </c>
      <c r="M684" t="b">
        <v>0</v>
      </c>
      <c r="N684" t="s">
        <v>33</v>
      </c>
      <c r="O684" s="4">
        <f t="shared" si="30"/>
        <v>0.66592674805771368</v>
      </c>
      <c r="P684" t="str">
        <f t="shared" si="31"/>
        <v>theater</v>
      </c>
      <c r="Q684" t="str">
        <f t="shared" si="32"/>
        <v>plays</v>
      </c>
    </row>
    <row r="685" spans="1:17" x14ac:dyDescent="0.3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t="s">
        <v>20</v>
      </c>
      <c r="G685">
        <v>147</v>
      </c>
      <c r="H685" t="s">
        <v>21</v>
      </c>
      <c r="I685" t="s">
        <v>22</v>
      </c>
      <c r="J685">
        <v>1537074000</v>
      </c>
      <c r="K685">
        <v>1537246800</v>
      </c>
      <c r="L685" t="b">
        <v>0</v>
      </c>
      <c r="M685" t="b">
        <v>0</v>
      </c>
      <c r="N685" t="s">
        <v>33</v>
      </c>
      <c r="O685" s="4">
        <f t="shared" si="30"/>
        <v>0.2789907811741873</v>
      </c>
      <c r="P685" t="str">
        <f t="shared" si="31"/>
        <v>theater</v>
      </c>
      <c r="Q685" t="str">
        <f t="shared" si="32"/>
        <v>plays</v>
      </c>
    </row>
    <row r="686" spans="1:17" x14ac:dyDescent="0.3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t="s">
        <v>20</v>
      </c>
      <c r="G686">
        <v>110</v>
      </c>
      <c r="H686" t="s">
        <v>15</v>
      </c>
      <c r="I686" t="s">
        <v>16</v>
      </c>
      <c r="J686">
        <v>1277787600</v>
      </c>
      <c r="K686">
        <v>1279515600</v>
      </c>
      <c r="L686" t="b">
        <v>0</v>
      </c>
      <c r="M686" t="b">
        <v>0</v>
      </c>
      <c r="N686" t="s">
        <v>68</v>
      </c>
      <c r="O686" s="4">
        <f t="shared" si="30"/>
        <v>0.18421052631578946</v>
      </c>
      <c r="P686" t="str">
        <f t="shared" si="31"/>
        <v>publishing</v>
      </c>
      <c r="Q686" t="str">
        <f t="shared" si="32"/>
        <v>nonfiction</v>
      </c>
    </row>
    <row r="687" spans="1:17" x14ac:dyDescent="0.3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t="s">
        <v>14</v>
      </c>
      <c r="G687">
        <v>926</v>
      </c>
      <c r="H687" t="s">
        <v>15</v>
      </c>
      <c r="I687" t="s">
        <v>16</v>
      </c>
      <c r="J687">
        <v>1440306000</v>
      </c>
      <c r="K687">
        <v>1442379600</v>
      </c>
      <c r="L687" t="b">
        <v>0</v>
      </c>
      <c r="M687" t="b">
        <v>0</v>
      </c>
      <c r="N687" t="s">
        <v>33</v>
      </c>
      <c r="O687" s="4">
        <f t="shared" si="30"/>
        <v>1.4814658045946605</v>
      </c>
      <c r="P687" t="str">
        <f t="shared" si="31"/>
        <v>theater</v>
      </c>
      <c r="Q687" t="str">
        <f t="shared" si="32"/>
        <v>plays</v>
      </c>
    </row>
    <row r="688" spans="1:17" x14ac:dyDescent="0.3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t="s">
        <v>20</v>
      </c>
      <c r="G688">
        <v>134</v>
      </c>
      <c r="H688" t="s">
        <v>21</v>
      </c>
      <c r="I688" t="s">
        <v>22</v>
      </c>
      <c r="J688">
        <v>1522126800</v>
      </c>
      <c r="K688">
        <v>1523077200</v>
      </c>
      <c r="L688" t="b">
        <v>0</v>
      </c>
      <c r="M688" t="b">
        <v>0</v>
      </c>
      <c r="N688" t="s">
        <v>65</v>
      </c>
      <c r="O688" s="4">
        <f t="shared" si="30"/>
        <v>0.52152145191572208</v>
      </c>
      <c r="P688" t="str">
        <f t="shared" si="31"/>
        <v>technology</v>
      </c>
      <c r="Q688" t="str">
        <f t="shared" si="32"/>
        <v>wearables</v>
      </c>
    </row>
    <row r="689" spans="1:17" x14ac:dyDescent="0.3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t="s">
        <v>20</v>
      </c>
      <c r="G689">
        <v>269</v>
      </c>
      <c r="H689" t="s">
        <v>21</v>
      </c>
      <c r="I689" t="s">
        <v>22</v>
      </c>
      <c r="J689">
        <v>1489298400</v>
      </c>
      <c r="K689">
        <v>1489554000</v>
      </c>
      <c r="L689" t="b">
        <v>0</v>
      </c>
      <c r="M689" t="b">
        <v>0</v>
      </c>
      <c r="N689" t="s">
        <v>33</v>
      </c>
      <c r="O689" s="4">
        <f t="shared" si="30"/>
        <v>0.1072961373390558</v>
      </c>
      <c r="P689" t="str">
        <f t="shared" si="31"/>
        <v>theater</v>
      </c>
      <c r="Q689" t="str">
        <f t="shared" si="32"/>
        <v>plays</v>
      </c>
    </row>
    <row r="690" spans="1:17" x14ac:dyDescent="0.3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t="s">
        <v>20</v>
      </c>
      <c r="G690">
        <v>175</v>
      </c>
      <c r="H690" t="s">
        <v>21</v>
      </c>
      <c r="I690" t="s">
        <v>22</v>
      </c>
      <c r="J690">
        <v>1547100000</v>
      </c>
      <c r="K690">
        <v>1548482400</v>
      </c>
      <c r="L690" t="b">
        <v>0</v>
      </c>
      <c r="M690" t="b">
        <v>1</v>
      </c>
      <c r="N690" t="s">
        <v>269</v>
      </c>
      <c r="O690" s="4">
        <f t="shared" si="30"/>
        <v>0.23295043778616756</v>
      </c>
      <c r="P690" t="str">
        <f t="shared" si="31"/>
        <v>film &amp; video</v>
      </c>
      <c r="Q690" t="str">
        <f t="shared" si="32"/>
        <v>television</v>
      </c>
    </row>
    <row r="691" spans="1:17" x14ac:dyDescent="0.3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t="s">
        <v>20</v>
      </c>
      <c r="G691">
        <v>69</v>
      </c>
      <c r="H691" t="s">
        <v>21</v>
      </c>
      <c r="I691" t="s">
        <v>22</v>
      </c>
      <c r="J691">
        <v>1383022800</v>
      </c>
      <c r="K691">
        <v>1384063200</v>
      </c>
      <c r="L691" t="b">
        <v>0</v>
      </c>
      <c r="M691" t="b">
        <v>0</v>
      </c>
      <c r="N691" t="s">
        <v>28</v>
      </c>
      <c r="O691" s="4">
        <f t="shared" si="30"/>
        <v>0.99346761023407726</v>
      </c>
      <c r="P691" t="str">
        <f t="shared" si="31"/>
        <v>technology</v>
      </c>
      <c r="Q691" t="str">
        <f t="shared" si="32"/>
        <v>web</v>
      </c>
    </row>
    <row r="692" spans="1:17" x14ac:dyDescent="0.3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t="s">
        <v>20</v>
      </c>
      <c r="G692">
        <v>190</v>
      </c>
      <c r="H692" t="s">
        <v>21</v>
      </c>
      <c r="I692" t="s">
        <v>22</v>
      </c>
      <c r="J692">
        <v>1322373600</v>
      </c>
      <c r="K692">
        <v>1322892000</v>
      </c>
      <c r="L692" t="b">
        <v>0</v>
      </c>
      <c r="M692" t="b">
        <v>1</v>
      </c>
      <c r="N692" t="s">
        <v>42</v>
      </c>
      <c r="O692" s="4">
        <f t="shared" si="30"/>
        <v>0.4412846285854376</v>
      </c>
      <c r="P692" t="str">
        <f t="shared" si="31"/>
        <v>film &amp; video</v>
      </c>
      <c r="Q692" t="str">
        <f t="shared" si="32"/>
        <v>documentary</v>
      </c>
    </row>
    <row r="693" spans="1:17" x14ac:dyDescent="0.3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t="s">
        <v>20</v>
      </c>
      <c r="G693">
        <v>237</v>
      </c>
      <c r="H693" t="s">
        <v>21</v>
      </c>
      <c r="I693" t="s">
        <v>22</v>
      </c>
      <c r="J693">
        <v>1349240400</v>
      </c>
      <c r="K693">
        <v>1350709200</v>
      </c>
      <c r="L693" t="b">
        <v>1</v>
      </c>
      <c r="M693" t="b">
        <v>1</v>
      </c>
      <c r="N693" t="s">
        <v>42</v>
      </c>
      <c r="O693" s="4">
        <f t="shared" si="30"/>
        <v>0.7023458350891979</v>
      </c>
      <c r="P693" t="str">
        <f t="shared" si="31"/>
        <v>film &amp; video</v>
      </c>
      <c r="Q693" t="str">
        <f t="shared" si="32"/>
        <v>documentary</v>
      </c>
    </row>
    <row r="694" spans="1:17" ht="31.2" x14ac:dyDescent="0.3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t="s">
        <v>14</v>
      </c>
      <c r="G694">
        <v>77</v>
      </c>
      <c r="H694" t="s">
        <v>40</v>
      </c>
      <c r="I694" t="s">
        <v>41</v>
      </c>
      <c r="J694">
        <v>1562648400</v>
      </c>
      <c r="K694">
        <v>1564203600</v>
      </c>
      <c r="L694" t="b">
        <v>0</v>
      </c>
      <c r="M694" t="b">
        <v>0</v>
      </c>
      <c r="N694" t="s">
        <v>23</v>
      </c>
      <c r="O694" s="4">
        <f t="shared" si="30"/>
        <v>1.1033468186833395</v>
      </c>
      <c r="P694" t="str">
        <f t="shared" si="31"/>
        <v>music</v>
      </c>
      <c r="Q694" t="str">
        <f t="shared" si="32"/>
        <v>rock</v>
      </c>
    </row>
    <row r="695" spans="1:17" ht="31.2" x14ac:dyDescent="0.3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t="s">
        <v>14</v>
      </c>
      <c r="G695">
        <v>1748</v>
      </c>
      <c r="H695" t="s">
        <v>21</v>
      </c>
      <c r="I695" t="s">
        <v>22</v>
      </c>
      <c r="J695">
        <v>1508216400</v>
      </c>
      <c r="K695">
        <v>1509685200</v>
      </c>
      <c r="L695" t="b">
        <v>0</v>
      </c>
      <c r="M695" t="b">
        <v>0</v>
      </c>
      <c r="N695" t="s">
        <v>33</v>
      </c>
      <c r="O695" s="4">
        <f t="shared" si="30"/>
        <v>1.5633124198412423</v>
      </c>
      <c r="P695" t="str">
        <f t="shared" si="31"/>
        <v>theater</v>
      </c>
      <c r="Q695" t="str">
        <f t="shared" si="32"/>
        <v>plays</v>
      </c>
    </row>
    <row r="696" spans="1:17" x14ac:dyDescent="0.3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t="s">
        <v>14</v>
      </c>
      <c r="G696">
        <v>79</v>
      </c>
      <c r="H696" t="s">
        <v>21</v>
      </c>
      <c r="I696" t="s">
        <v>22</v>
      </c>
      <c r="J696">
        <v>1511762400</v>
      </c>
      <c r="K696">
        <v>1514959200</v>
      </c>
      <c r="L696" t="b">
        <v>0</v>
      </c>
      <c r="M696" t="b">
        <v>0</v>
      </c>
      <c r="N696" t="s">
        <v>33</v>
      </c>
      <c r="O696" s="4">
        <f t="shared" si="30"/>
        <v>1.1886102403343783</v>
      </c>
      <c r="P696" t="str">
        <f t="shared" si="31"/>
        <v>theater</v>
      </c>
      <c r="Q696" t="str">
        <f t="shared" si="32"/>
        <v>plays</v>
      </c>
    </row>
    <row r="697" spans="1:17" x14ac:dyDescent="0.3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t="s">
        <v>20</v>
      </c>
      <c r="G697">
        <v>196</v>
      </c>
      <c r="H697" t="s">
        <v>107</v>
      </c>
      <c r="I697" t="s">
        <v>108</v>
      </c>
      <c r="J697">
        <v>1447480800</v>
      </c>
      <c r="K697">
        <v>1448863200</v>
      </c>
      <c r="L697" t="b">
        <v>1</v>
      </c>
      <c r="M697" t="b">
        <v>0</v>
      </c>
      <c r="N697" t="s">
        <v>23</v>
      </c>
      <c r="O697" s="4">
        <f t="shared" si="30"/>
        <v>0.74663204025320562</v>
      </c>
      <c r="P697" t="str">
        <f t="shared" si="31"/>
        <v>music</v>
      </c>
      <c r="Q697" t="str">
        <f t="shared" si="32"/>
        <v>rock</v>
      </c>
    </row>
    <row r="698" spans="1:17" x14ac:dyDescent="0.3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t="s">
        <v>14</v>
      </c>
      <c r="G698">
        <v>889</v>
      </c>
      <c r="H698" t="s">
        <v>21</v>
      </c>
      <c r="I698" t="s">
        <v>22</v>
      </c>
      <c r="J698">
        <v>1429506000</v>
      </c>
      <c r="K698">
        <v>1429592400</v>
      </c>
      <c r="L698" t="b">
        <v>0</v>
      </c>
      <c r="M698" t="b">
        <v>1</v>
      </c>
      <c r="N698" t="s">
        <v>33</v>
      </c>
      <c r="O698" s="4">
        <f t="shared" si="30"/>
        <v>1.6937081991577905</v>
      </c>
      <c r="P698" t="str">
        <f t="shared" si="31"/>
        <v>theater</v>
      </c>
      <c r="Q698" t="str">
        <f t="shared" si="32"/>
        <v>plays</v>
      </c>
    </row>
    <row r="699" spans="1:17" ht="31.2" x14ac:dyDescent="0.3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t="s">
        <v>20</v>
      </c>
      <c r="G699">
        <v>7295</v>
      </c>
      <c r="H699" t="s">
        <v>21</v>
      </c>
      <c r="I699" t="s">
        <v>22</v>
      </c>
      <c r="J699">
        <v>1522472400</v>
      </c>
      <c r="K699">
        <v>1522645200</v>
      </c>
      <c r="L699" t="b">
        <v>0</v>
      </c>
      <c r="M699" t="b">
        <v>0</v>
      </c>
      <c r="N699" t="s">
        <v>50</v>
      </c>
      <c r="O699" s="4">
        <f t="shared" si="30"/>
        <v>0.65444760357432985</v>
      </c>
      <c r="P699" t="str">
        <f t="shared" si="31"/>
        <v>music</v>
      </c>
      <c r="Q699" t="str">
        <f t="shared" si="32"/>
        <v>electric music</v>
      </c>
    </row>
    <row r="700" spans="1:17" x14ac:dyDescent="0.3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t="s">
        <v>20</v>
      </c>
      <c r="G700">
        <v>2893</v>
      </c>
      <c r="H700" t="s">
        <v>15</v>
      </c>
      <c r="I700" t="s">
        <v>16</v>
      </c>
      <c r="J700">
        <v>1322114400</v>
      </c>
      <c r="K700">
        <v>1323324000</v>
      </c>
      <c r="L700" t="b">
        <v>0</v>
      </c>
      <c r="M700" t="b">
        <v>0</v>
      </c>
      <c r="N700" t="s">
        <v>65</v>
      </c>
      <c r="O700" s="4">
        <f t="shared" si="30"/>
        <v>0.22386829525090796</v>
      </c>
      <c r="P700" t="str">
        <f t="shared" si="31"/>
        <v>technology</v>
      </c>
      <c r="Q700" t="str">
        <f t="shared" si="32"/>
        <v>wearables</v>
      </c>
    </row>
    <row r="701" spans="1:17" x14ac:dyDescent="0.3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t="s">
        <v>14</v>
      </c>
      <c r="G701">
        <v>56</v>
      </c>
      <c r="H701" t="s">
        <v>21</v>
      </c>
      <c r="I701" t="s">
        <v>22</v>
      </c>
      <c r="J701">
        <v>1561438800</v>
      </c>
      <c r="K701">
        <v>1561525200</v>
      </c>
      <c r="L701" t="b">
        <v>0</v>
      </c>
      <c r="M701" t="b">
        <v>0</v>
      </c>
      <c r="N701" t="s">
        <v>53</v>
      </c>
      <c r="O701" s="4">
        <f t="shared" si="30"/>
        <v>1.1849479583666933</v>
      </c>
      <c r="P701" t="str">
        <f t="shared" si="31"/>
        <v>film &amp; video</v>
      </c>
      <c r="Q701" t="str">
        <f t="shared" si="32"/>
        <v>drama</v>
      </c>
    </row>
    <row r="702" spans="1:17" ht="31.2" x14ac:dyDescent="0.3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t="s">
        <v>14</v>
      </c>
      <c r="G702">
        <v>1</v>
      </c>
      <c r="H702" t="s">
        <v>21</v>
      </c>
      <c r="I702" t="s">
        <v>22</v>
      </c>
      <c r="J702">
        <v>1264399200</v>
      </c>
      <c r="K702">
        <v>1265695200</v>
      </c>
      <c r="L702" t="b">
        <v>0</v>
      </c>
      <c r="M702" t="b">
        <v>0</v>
      </c>
      <c r="N702" t="s">
        <v>65</v>
      </c>
      <c r="O702" s="4">
        <f t="shared" si="30"/>
        <v>33.333333333333336</v>
      </c>
      <c r="P702" t="str">
        <f t="shared" si="31"/>
        <v>technology</v>
      </c>
      <c r="Q702" t="str">
        <f t="shared" si="32"/>
        <v>wearables</v>
      </c>
    </row>
    <row r="703" spans="1:17" ht="31.2" x14ac:dyDescent="0.3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t="s">
        <v>20</v>
      </c>
      <c r="G703">
        <v>820</v>
      </c>
      <c r="H703" t="s">
        <v>21</v>
      </c>
      <c r="I703" t="s">
        <v>22</v>
      </c>
      <c r="J703">
        <v>1301202000</v>
      </c>
      <c r="K703">
        <v>1301806800</v>
      </c>
      <c r="L703" t="b">
        <v>1</v>
      </c>
      <c r="M703" t="b">
        <v>0</v>
      </c>
      <c r="N703" t="s">
        <v>33</v>
      </c>
      <c r="O703" s="4">
        <f t="shared" si="30"/>
        <v>0.57134067286351553</v>
      </c>
      <c r="P703" t="str">
        <f t="shared" si="31"/>
        <v>theater</v>
      </c>
      <c r="Q703" t="str">
        <f t="shared" si="32"/>
        <v>plays</v>
      </c>
    </row>
    <row r="704" spans="1:17" ht="31.2" x14ac:dyDescent="0.3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t="s">
        <v>14</v>
      </c>
      <c r="G704">
        <v>83</v>
      </c>
      <c r="H704" t="s">
        <v>21</v>
      </c>
      <c r="I704" t="s">
        <v>22</v>
      </c>
      <c r="J704">
        <v>1374469200</v>
      </c>
      <c r="K704">
        <v>1374901200</v>
      </c>
      <c r="L704" t="b">
        <v>0</v>
      </c>
      <c r="M704" t="b">
        <v>0</v>
      </c>
      <c r="N704" t="s">
        <v>65</v>
      </c>
      <c r="O704" s="4">
        <f t="shared" si="30"/>
        <v>1.8471337579617835</v>
      </c>
      <c r="P704" t="str">
        <f t="shared" si="31"/>
        <v>technology</v>
      </c>
      <c r="Q704" t="str">
        <f t="shared" si="32"/>
        <v>wearables</v>
      </c>
    </row>
    <row r="705" spans="1:17" x14ac:dyDescent="0.3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t="s">
        <v>20</v>
      </c>
      <c r="G705">
        <v>2038</v>
      </c>
      <c r="H705" t="s">
        <v>21</v>
      </c>
      <c r="I705" t="s">
        <v>22</v>
      </c>
      <c r="J705">
        <v>1334984400</v>
      </c>
      <c r="K705">
        <v>1336453200</v>
      </c>
      <c r="L705" t="b">
        <v>1</v>
      </c>
      <c r="M705" t="b">
        <v>1</v>
      </c>
      <c r="N705" t="s">
        <v>206</v>
      </c>
      <c r="O705" s="4">
        <f t="shared" si="30"/>
        <v>0.32064249878621137</v>
      </c>
      <c r="P705" t="str">
        <f t="shared" si="31"/>
        <v>publishing</v>
      </c>
      <c r="Q705" t="str">
        <f t="shared" si="32"/>
        <v>translations</v>
      </c>
    </row>
    <row r="706" spans="1:17" ht="31.2" x14ac:dyDescent="0.3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t="s">
        <v>20</v>
      </c>
      <c r="G706">
        <v>116</v>
      </c>
      <c r="H706" t="s">
        <v>21</v>
      </c>
      <c r="I706" t="s">
        <v>22</v>
      </c>
      <c r="J706">
        <v>1467608400</v>
      </c>
      <c r="K706">
        <v>1468904400</v>
      </c>
      <c r="L706" t="b">
        <v>0</v>
      </c>
      <c r="M706" t="b">
        <v>0</v>
      </c>
      <c r="N706" t="s">
        <v>71</v>
      </c>
      <c r="O706" s="4">
        <f t="shared" si="30"/>
        <v>0.81445422205579476</v>
      </c>
      <c r="P706" t="str">
        <f t="shared" si="31"/>
        <v>film &amp; video</v>
      </c>
      <c r="Q706" t="str">
        <f t="shared" si="32"/>
        <v>animation</v>
      </c>
    </row>
    <row r="707" spans="1:17" x14ac:dyDescent="0.3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t="s">
        <v>14</v>
      </c>
      <c r="G707">
        <v>2025</v>
      </c>
      <c r="H707" t="s">
        <v>40</v>
      </c>
      <c r="I707" t="s">
        <v>41</v>
      </c>
      <c r="J707">
        <v>1386741600</v>
      </c>
      <c r="K707">
        <v>1387087200</v>
      </c>
      <c r="L707" t="b">
        <v>0</v>
      </c>
      <c r="M707" t="b">
        <v>0</v>
      </c>
      <c r="N707" t="s">
        <v>68</v>
      </c>
      <c r="O707" s="4">
        <f t="shared" ref="O707:O770" si="33">D707/E707</f>
        <v>1.0098305246120156</v>
      </c>
      <c r="P707" t="str">
        <f t="shared" ref="P707:P770" si="34">LEFT(N707,SEARCH("/",N707) -1)</f>
        <v>publishing</v>
      </c>
      <c r="Q707" t="str">
        <f t="shared" ref="Q707:Q770" si="35">RIGHT(N707,LEN(N707)-SEARCH("/",N707))</f>
        <v>nonfiction</v>
      </c>
    </row>
    <row r="708" spans="1:17" ht="31.2" x14ac:dyDescent="0.3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t="s">
        <v>20</v>
      </c>
      <c r="G708">
        <v>1345</v>
      </c>
      <c r="H708" t="s">
        <v>26</v>
      </c>
      <c r="I708" t="s">
        <v>27</v>
      </c>
      <c r="J708">
        <v>1546754400</v>
      </c>
      <c r="K708">
        <v>1547445600</v>
      </c>
      <c r="L708" t="b">
        <v>0</v>
      </c>
      <c r="M708" t="b">
        <v>1</v>
      </c>
      <c r="N708" t="s">
        <v>28</v>
      </c>
      <c r="O708" s="4">
        <f t="shared" si="33"/>
        <v>0.78218579077251671</v>
      </c>
      <c r="P708" t="str">
        <f t="shared" si="34"/>
        <v>technology</v>
      </c>
      <c r="Q708" t="str">
        <f t="shared" si="35"/>
        <v>web</v>
      </c>
    </row>
    <row r="709" spans="1:17" ht="31.2" x14ac:dyDescent="0.3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t="s">
        <v>20</v>
      </c>
      <c r="G709">
        <v>168</v>
      </c>
      <c r="H709" t="s">
        <v>21</v>
      </c>
      <c r="I709" t="s">
        <v>22</v>
      </c>
      <c r="J709">
        <v>1544248800</v>
      </c>
      <c r="K709">
        <v>1547359200</v>
      </c>
      <c r="L709" t="b">
        <v>0</v>
      </c>
      <c r="M709" t="b">
        <v>0</v>
      </c>
      <c r="N709" t="s">
        <v>53</v>
      </c>
      <c r="O709" s="4">
        <f t="shared" si="33"/>
        <v>0.63045167976509198</v>
      </c>
      <c r="P709" t="str">
        <f t="shared" si="34"/>
        <v>film &amp; video</v>
      </c>
      <c r="Q709" t="str">
        <f t="shared" si="35"/>
        <v>drama</v>
      </c>
    </row>
    <row r="710" spans="1:17" x14ac:dyDescent="0.3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t="s">
        <v>20</v>
      </c>
      <c r="G710">
        <v>137</v>
      </c>
      <c r="H710" t="s">
        <v>98</v>
      </c>
      <c r="I710" t="s">
        <v>99</v>
      </c>
      <c r="J710">
        <v>1495429200</v>
      </c>
      <c r="K710">
        <v>1496293200</v>
      </c>
      <c r="L710" t="b">
        <v>0</v>
      </c>
      <c r="M710" t="b">
        <v>0</v>
      </c>
      <c r="N710" t="s">
        <v>33</v>
      </c>
      <c r="O710" s="4">
        <f t="shared" si="33"/>
        <v>0.14143094841930118</v>
      </c>
      <c r="P710" t="str">
        <f t="shared" si="34"/>
        <v>theater</v>
      </c>
      <c r="Q710" t="str">
        <f t="shared" si="35"/>
        <v>plays</v>
      </c>
    </row>
    <row r="711" spans="1:17" x14ac:dyDescent="0.3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t="s">
        <v>20</v>
      </c>
      <c r="G711">
        <v>186</v>
      </c>
      <c r="H711" t="s">
        <v>107</v>
      </c>
      <c r="I711" t="s">
        <v>108</v>
      </c>
      <c r="J711">
        <v>1334811600</v>
      </c>
      <c r="K711">
        <v>1335416400</v>
      </c>
      <c r="L711" t="b">
        <v>0</v>
      </c>
      <c r="M711" t="b">
        <v>0</v>
      </c>
      <c r="N711" t="s">
        <v>33</v>
      </c>
      <c r="O711" s="4">
        <f t="shared" si="33"/>
        <v>0.70230758205532462</v>
      </c>
      <c r="P711" t="str">
        <f t="shared" si="34"/>
        <v>theater</v>
      </c>
      <c r="Q711" t="str">
        <f t="shared" si="35"/>
        <v>plays</v>
      </c>
    </row>
    <row r="712" spans="1:17" ht="31.2" x14ac:dyDescent="0.3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t="s">
        <v>20</v>
      </c>
      <c r="G712">
        <v>125</v>
      </c>
      <c r="H712" t="s">
        <v>21</v>
      </c>
      <c r="I712" t="s">
        <v>22</v>
      </c>
      <c r="J712">
        <v>1531544400</v>
      </c>
      <c r="K712">
        <v>1532149200</v>
      </c>
      <c r="L712" t="b">
        <v>0</v>
      </c>
      <c r="M712" t="b">
        <v>1</v>
      </c>
      <c r="N712" t="s">
        <v>33</v>
      </c>
      <c r="O712" s="4">
        <f t="shared" si="33"/>
        <v>0.67631330607109152</v>
      </c>
      <c r="P712" t="str">
        <f t="shared" si="34"/>
        <v>theater</v>
      </c>
      <c r="Q712" t="str">
        <f t="shared" si="35"/>
        <v>plays</v>
      </c>
    </row>
    <row r="713" spans="1:17" ht="31.2" x14ac:dyDescent="0.3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t="s">
        <v>14</v>
      </c>
      <c r="G713">
        <v>14</v>
      </c>
      <c r="H713" t="s">
        <v>107</v>
      </c>
      <c r="I713" t="s">
        <v>108</v>
      </c>
      <c r="J713">
        <v>1453615200</v>
      </c>
      <c r="K713">
        <v>1453788000</v>
      </c>
      <c r="L713" t="b">
        <v>1</v>
      </c>
      <c r="M713" t="b">
        <v>1</v>
      </c>
      <c r="N713" t="s">
        <v>33</v>
      </c>
      <c r="O713" s="4">
        <f t="shared" si="33"/>
        <v>4.9206349206349209</v>
      </c>
      <c r="P713" t="str">
        <f t="shared" si="34"/>
        <v>theater</v>
      </c>
      <c r="Q713" t="str">
        <f t="shared" si="35"/>
        <v>plays</v>
      </c>
    </row>
    <row r="714" spans="1:17" ht="31.2" x14ac:dyDescent="0.3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t="s">
        <v>20</v>
      </c>
      <c r="G714">
        <v>202</v>
      </c>
      <c r="H714" t="s">
        <v>21</v>
      </c>
      <c r="I714" t="s">
        <v>22</v>
      </c>
      <c r="J714">
        <v>1467954000</v>
      </c>
      <c r="K714">
        <v>1471496400</v>
      </c>
      <c r="L714" t="b">
        <v>0</v>
      </c>
      <c r="M714" t="b">
        <v>0</v>
      </c>
      <c r="N714" t="s">
        <v>33</v>
      </c>
      <c r="O714" s="4">
        <f t="shared" si="33"/>
        <v>5.4329371816638369E-2</v>
      </c>
      <c r="P714" t="str">
        <f t="shared" si="34"/>
        <v>theater</v>
      </c>
      <c r="Q714" t="str">
        <f t="shared" si="35"/>
        <v>plays</v>
      </c>
    </row>
    <row r="715" spans="1:17" x14ac:dyDescent="0.3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t="s">
        <v>20</v>
      </c>
      <c r="G715">
        <v>103</v>
      </c>
      <c r="H715" t="s">
        <v>21</v>
      </c>
      <c r="I715" t="s">
        <v>22</v>
      </c>
      <c r="J715">
        <v>1471842000</v>
      </c>
      <c r="K715">
        <v>1472878800</v>
      </c>
      <c r="L715" t="b">
        <v>0</v>
      </c>
      <c r="M715" t="b">
        <v>0</v>
      </c>
      <c r="N715" t="s">
        <v>133</v>
      </c>
      <c r="O715" s="4">
        <f t="shared" si="33"/>
        <v>0.61750492214068375</v>
      </c>
      <c r="P715" t="str">
        <f t="shared" si="34"/>
        <v>publishing</v>
      </c>
      <c r="Q715" t="str">
        <f t="shared" si="35"/>
        <v>radio &amp; podcasts</v>
      </c>
    </row>
    <row r="716" spans="1:17" x14ac:dyDescent="0.3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t="s">
        <v>20</v>
      </c>
      <c r="G716">
        <v>1785</v>
      </c>
      <c r="H716" t="s">
        <v>21</v>
      </c>
      <c r="I716" t="s">
        <v>22</v>
      </c>
      <c r="J716">
        <v>1408424400</v>
      </c>
      <c r="K716">
        <v>1408510800</v>
      </c>
      <c r="L716" t="b">
        <v>0</v>
      </c>
      <c r="M716" t="b">
        <v>0</v>
      </c>
      <c r="N716" t="s">
        <v>23</v>
      </c>
      <c r="O716" s="4">
        <f t="shared" si="33"/>
        <v>0.2114966270408051</v>
      </c>
      <c r="P716" t="str">
        <f t="shared" si="34"/>
        <v>music</v>
      </c>
      <c r="Q716" t="str">
        <f t="shared" si="35"/>
        <v>rock</v>
      </c>
    </row>
    <row r="717" spans="1:17" x14ac:dyDescent="0.3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t="s">
        <v>14</v>
      </c>
      <c r="G717">
        <v>656</v>
      </c>
      <c r="H717" t="s">
        <v>21</v>
      </c>
      <c r="I717" t="s">
        <v>22</v>
      </c>
      <c r="J717">
        <v>1281157200</v>
      </c>
      <c r="K717">
        <v>1281589200</v>
      </c>
      <c r="L717" t="b">
        <v>0</v>
      </c>
      <c r="M717" t="b">
        <v>0</v>
      </c>
      <c r="N717" t="s">
        <v>292</v>
      </c>
      <c r="O717" s="4">
        <f t="shared" si="33"/>
        <v>4.0872878420505714</v>
      </c>
      <c r="P717" t="str">
        <f t="shared" si="34"/>
        <v>games</v>
      </c>
      <c r="Q717" t="str">
        <f t="shared" si="35"/>
        <v>mobile games</v>
      </c>
    </row>
    <row r="718" spans="1:17" x14ac:dyDescent="0.3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t="s">
        <v>20</v>
      </c>
      <c r="G718">
        <v>157</v>
      </c>
      <c r="H718" t="s">
        <v>21</v>
      </c>
      <c r="I718" t="s">
        <v>22</v>
      </c>
      <c r="J718">
        <v>1373432400</v>
      </c>
      <c r="K718">
        <v>1375851600</v>
      </c>
      <c r="L718" t="b">
        <v>0</v>
      </c>
      <c r="M718" t="b">
        <v>1</v>
      </c>
      <c r="N718" t="s">
        <v>33</v>
      </c>
      <c r="O718" s="4">
        <f t="shared" si="33"/>
        <v>0.19318072056408769</v>
      </c>
      <c r="P718" t="str">
        <f t="shared" si="34"/>
        <v>theater</v>
      </c>
      <c r="Q718" t="str">
        <f t="shared" si="35"/>
        <v>plays</v>
      </c>
    </row>
    <row r="719" spans="1:17" ht="31.2" x14ac:dyDescent="0.3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t="s">
        <v>20</v>
      </c>
      <c r="G719">
        <v>555</v>
      </c>
      <c r="H719" t="s">
        <v>21</v>
      </c>
      <c r="I719" t="s">
        <v>22</v>
      </c>
      <c r="J719">
        <v>1313989200</v>
      </c>
      <c r="K719">
        <v>1315803600</v>
      </c>
      <c r="L719" t="b">
        <v>0</v>
      </c>
      <c r="M719" t="b">
        <v>0</v>
      </c>
      <c r="N719" t="s">
        <v>42</v>
      </c>
      <c r="O719" s="4">
        <f t="shared" si="33"/>
        <v>0.4038073262186328</v>
      </c>
      <c r="P719" t="str">
        <f t="shared" si="34"/>
        <v>film &amp; video</v>
      </c>
      <c r="Q719" t="str">
        <f t="shared" si="35"/>
        <v>documentary</v>
      </c>
    </row>
    <row r="720" spans="1:17" x14ac:dyDescent="0.3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t="s">
        <v>20</v>
      </c>
      <c r="G720">
        <v>297</v>
      </c>
      <c r="H720" t="s">
        <v>21</v>
      </c>
      <c r="I720" t="s">
        <v>22</v>
      </c>
      <c r="J720">
        <v>1371445200</v>
      </c>
      <c r="K720">
        <v>1373691600</v>
      </c>
      <c r="L720" t="b">
        <v>0</v>
      </c>
      <c r="M720" t="b">
        <v>0</v>
      </c>
      <c r="N720" t="s">
        <v>65</v>
      </c>
      <c r="O720" s="4">
        <f t="shared" si="33"/>
        <v>0.99795599374774557</v>
      </c>
      <c r="P720" t="str">
        <f t="shared" si="34"/>
        <v>technology</v>
      </c>
      <c r="Q720" t="str">
        <f t="shared" si="35"/>
        <v>wearables</v>
      </c>
    </row>
    <row r="721" spans="1:17" x14ac:dyDescent="0.3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t="s">
        <v>20</v>
      </c>
      <c r="G721">
        <v>123</v>
      </c>
      <c r="H721" t="s">
        <v>21</v>
      </c>
      <c r="I721" t="s">
        <v>22</v>
      </c>
      <c r="J721">
        <v>1338267600</v>
      </c>
      <c r="K721">
        <v>1339218000</v>
      </c>
      <c r="L721" t="b">
        <v>0</v>
      </c>
      <c r="M721" t="b">
        <v>0</v>
      </c>
      <c r="N721" t="s">
        <v>119</v>
      </c>
      <c r="O721" s="4">
        <f t="shared" si="33"/>
        <v>0.65359477124183007</v>
      </c>
      <c r="P721" t="str">
        <f t="shared" si="34"/>
        <v>publishing</v>
      </c>
      <c r="Q721" t="str">
        <f t="shared" si="35"/>
        <v>fiction</v>
      </c>
    </row>
    <row r="722" spans="1:17" ht="31.2" x14ac:dyDescent="0.3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t="s">
        <v>74</v>
      </c>
      <c r="G722">
        <v>38</v>
      </c>
      <c r="H722" t="s">
        <v>36</v>
      </c>
      <c r="I722" t="s">
        <v>37</v>
      </c>
      <c r="J722">
        <v>1519192800</v>
      </c>
      <c r="K722">
        <v>1520402400</v>
      </c>
      <c r="L722" t="b">
        <v>0</v>
      </c>
      <c r="M722" t="b">
        <v>1</v>
      </c>
      <c r="N722" t="s">
        <v>33</v>
      </c>
      <c r="O722" s="4">
        <f t="shared" si="33"/>
        <v>2.6960024790827393</v>
      </c>
      <c r="P722" t="str">
        <f t="shared" si="34"/>
        <v>theater</v>
      </c>
      <c r="Q722" t="str">
        <f t="shared" si="35"/>
        <v>plays</v>
      </c>
    </row>
    <row r="723" spans="1:17" x14ac:dyDescent="0.3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t="s">
        <v>74</v>
      </c>
      <c r="G723">
        <v>60</v>
      </c>
      <c r="H723" t="s">
        <v>21</v>
      </c>
      <c r="I723" t="s">
        <v>22</v>
      </c>
      <c r="J723">
        <v>1522818000</v>
      </c>
      <c r="K723">
        <v>1523336400</v>
      </c>
      <c r="L723" t="b">
        <v>0</v>
      </c>
      <c r="M723" t="b">
        <v>0</v>
      </c>
      <c r="N723" t="s">
        <v>23</v>
      </c>
      <c r="O723" s="4">
        <f t="shared" si="33"/>
        <v>22.766623687603609</v>
      </c>
      <c r="P723" t="str">
        <f t="shared" si="34"/>
        <v>music</v>
      </c>
      <c r="Q723" t="str">
        <f t="shared" si="35"/>
        <v>rock</v>
      </c>
    </row>
    <row r="724" spans="1:17" x14ac:dyDescent="0.3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t="s">
        <v>20</v>
      </c>
      <c r="G724">
        <v>3036</v>
      </c>
      <c r="H724" t="s">
        <v>21</v>
      </c>
      <c r="I724" t="s">
        <v>22</v>
      </c>
      <c r="J724">
        <v>1509948000</v>
      </c>
      <c r="K724">
        <v>1512280800</v>
      </c>
      <c r="L724" t="b">
        <v>0</v>
      </c>
      <c r="M724" t="b">
        <v>0</v>
      </c>
      <c r="N724" t="s">
        <v>42</v>
      </c>
      <c r="O724" s="4">
        <f t="shared" si="33"/>
        <v>0.63894817273996785</v>
      </c>
      <c r="P724" t="str">
        <f t="shared" si="34"/>
        <v>film &amp; video</v>
      </c>
      <c r="Q724" t="str">
        <f t="shared" si="35"/>
        <v>documentary</v>
      </c>
    </row>
    <row r="725" spans="1:17" x14ac:dyDescent="0.3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t="s">
        <v>20</v>
      </c>
      <c r="G725">
        <v>144</v>
      </c>
      <c r="H725" t="s">
        <v>26</v>
      </c>
      <c r="I725" t="s">
        <v>27</v>
      </c>
      <c r="J725">
        <v>1456898400</v>
      </c>
      <c r="K725">
        <v>1458709200</v>
      </c>
      <c r="L725" t="b">
        <v>0</v>
      </c>
      <c r="M725" t="b">
        <v>0</v>
      </c>
      <c r="N725" t="s">
        <v>33</v>
      </c>
      <c r="O725" s="4">
        <f t="shared" si="33"/>
        <v>0.36981132075471695</v>
      </c>
      <c r="P725" t="str">
        <f t="shared" si="34"/>
        <v>theater</v>
      </c>
      <c r="Q725" t="str">
        <f t="shared" si="35"/>
        <v>plays</v>
      </c>
    </row>
    <row r="726" spans="1:17" ht="31.2" x14ac:dyDescent="0.3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t="s">
        <v>20</v>
      </c>
      <c r="G726">
        <v>121</v>
      </c>
      <c r="H726" t="s">
        <v>40</v>
      </c>
      <c r="I726" t="s">
        <v>41</v>
      </c>
      <c r="J726">
        <v>1413954000</v>
      </c>
      <c r="K726">
        <v>1414126800</v>
      </c>
      <c r="L726" t="b">
        <v>0</v>
      </c>
      <c r="M726" t="b">
        <v>1</v>
      </c>
      <c r="N726" t="s">
        <v>33</v>
      </c>
      <c r="O726" s="4">
        <f t="shared" si="33"/>
        <v>0.74593730574549333</v>
      </c>
      <c r="P726" t="str">
        <f t="shared" si="34"/>
        <v>theater</v>
      </c>
      <c r="Q726" t="str">
        <f t="shared" si="35"/>
        <v>plays</v>
      </c>
    </row>
    <row r="727" spans="1:17" x14ac:dyDescent="0.3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t="s">
        <v>14</v>
      </c>
      <c r="G727">
        <v>1596</v>
      </c>
      <c r="H727" t="s">
        <v>21</v>
      </c>
      <c r="I727" t="s">
        <v>22</v>
      </c>
      <c r="J727">
        <v>1416031200</v>
      </c>
      <c r="K727">
        <v>1416204000</v>
      </c>
      <c r="L727" t="b">
        <v>0</v>
      </c>
      <c r="M727" t="b">
        <v>0</v>
      </c>
      <c r="N727" t="s">
        <v>292</v>
      </c>
      <c r="O727" s="4">
        <f t="shared" si="33"/>
        <v>1.9842044182439997</v>
      </c>
      <c r="P727" t="str">
        <f t="shared" si="34"/>
        <v>games</v>
      </c>
      <c r="Q727" t="str">
        <f t="shared" si="35"/>
        <v>mobile games</v>
      </c>
    </row>
    <row r="728" spans="1:17" ht="31.2" x14ac:dyDescent="0.3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t="s">
        <v>74</v>
      </c>
      <c r="G728">
        <v>524</v>
      </c>
      <c r="H728" t="s">
        <v>21</v>
      </c>
      <c r="I728" t="s">
        <v>22</v>
      </c>
      <c r="J728">
        <v>1287982800</v>
      </c>
      <c r="K728">
        <v>1288501200</v>
      </c>
      <c r="L728" t="b">
        <v>0</v>
      </c>
      <c r="M728" t="b">
        <v>1</v>
      </c>
      <c r="N728" t="s">
        <v>33</v>
      </c>
      <c r="O728" s="4">
        <f t="shared" si="33"/>
        <v>1.1259253115474734</v>
      </c>
      <c r="P728" t="str">
        <f t="shared" si="34"/>
        <v>theater</v>
      </c>
      <c r="Q728" t="str">
        <f t="shared" si="35"/>
        <v>plays</v>
      </c>
    </row>
    <row r="729" spans="1:17" x14ac:dyDescent="0.3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t="s">
        <v>20</v>
      </c>
      <c r="G729">
        <v>181</v>
      </c>
      <c r="H729" t="s">
        <v>21</v>
      </c>
      <c r="I729" t="s">
        <v>22</v>
      </c>
      <c r="J729">
        <v>1547964000</v>
      </c>
      <c r="K729">
        <v>1552971600</v>
      </c>
      <c r="L729" t="b">
        <v>0</v>
      </c>
      <c r="M729" t="b">
        <v>0</v>
      </c>
      <c r="N729" t="s">
        <v>28</v>
      </c>
      <c r="O729" s="4">
        <f t="shared" si="33"/>
        <v>0.60606060606060608</v>
      </c>
      <c r="P729" t="str">
        <f t="shared" si="34"/>
        <v>technology</v>
      </c>
      <c r="Q729" t="str">
        <f t="shared" si="35"/>
        <v>web</v>
      </c>
    </row>
    <row r="730" spans="1:17" ht="31.2" x14ac:dyDescent="0.3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t="s">
        <v>14</v>
      </c>
      <c r="G730">
        <v>10</v>
      </c>
      <c r="H730" t="s">
        <v>21</v>
      </c>
      <c r="I730" t="s">
        <v>22</v>
      </c>
      <c r="J730">
        <v>1464152400</v>
      </c>
      <c r="K730">
        <v>1465102800</v>
      </c>
      <c r="L730" t="b">
        <v>0</v>
      </c>
      <c r="M730" t="b">
        <v>0</v>
      </c>
      <c r="N730" t="s">
        <v>33</v>
      </c>
      <c r="O730" s="4">
        <f t="shared" si="33"/>
        <v>5.7142857142857144</v>
      </c>
      <c r="P730" t="str">
        <f t="shared" si="34"/>
        <v>theater</v>
      </c>
      <c r="Q730" t="str">
        <f t="shared" si="35"/>
        <v>plays</v>
      </c>
    </row>
    <row r="731" spans="1:17" ht="31.2" x14ac:dyDescent="0.3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t="s">
        <v>20</v>
      </c>
      <c r="G731">
        <v>122</v>
      </c>
      <c r="H731" t="s">
        <v>21</v>
      </c>
      <c r="I731" t="s">
        <v>22</v>
      </c>
      <c r="J731">
        <v>1359957600</v>
      </c>
      <c r="K731">
        <v>1360130400</v>
      </c>
      <c r="L731" t="b">
        <v>0</v>
      </c>
      <c r="M731" t="b">
        <v>0</v>
      </c>
      <c r="N731" t="s">
        <v>53</v>
      </c>
      <c r="O731" s="4">
        <f t="shared" si="33"/>
        <v>0.5386169087236703</v>
      </c>
      <c r="P731" t="str">
        <f t="shared" si="34"/>
        <v>film &amp; video</v>
      </c>
      <c r="Q731" t="str">
        <f t="shared" si="35"/>
        <v>drama</v>
      </c>
    </row>
    <row r="732" spans="1:17" x14ac:dyDescent="0.3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t="s">
        <v>20</v>
      </c>
      <c r="G732">
        <v>1071</v>
      </c>
      <c r="H732" t="s">
        <v>15</v>
      </c>
      <c r="I732" t="s">
        <v>16</v>
      </c>
      <c r="J732">
        <v>1432357200</v>
      </c>
      <c r="K732">
        <v>1432875600</v>
      </c>
      <c r="L732" t="b">
        <v>0</v>
      </c>
      <c r="M732" t="b">
        <v>0</v>
      </c>
      <c r="N732" t="s">
        <v>65</v>
      </c>
      <c r="O732" s="4">
        <f t="shared" si="33"/>
        <v>0.24232837177211036</v>
      </c>
      <c r="P732" t="str">
        <f t="shared" si="34"/>
        <v>technology</v>
      </c>
      <c r="Q732" t="str">
        <f t="shared" si="35"/>
        <v>wearables</v>
      </c>
    </row>
    <row r="733" spans="1:17" x14ac:dyDescent="0.3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t="s">
        <v>74</v>
      </c>
      <c r="G733">
        <v>219</v>
      </c>
      <c r="H733" t="s">
        <v>21</v>
      </c>
      <c r="I733" t="s">
        <v>22</v>
      </c>
      <c r="J733">
        <v>1500786000</v>
      </c>
      <c r="K733">
        <v>1500872400</v>
      </c>
      <c r="L733" t="b">
        <v>0</v>
      </c>
      <c r="M733" t="b">
        <v>0</v>
      </c>
      <c r="N733" t="s">
        <v>28</v>
      </c>
      <c r="O733" s="4">
        <f t="shared" si="33"/>
        <v>1.10803324099723</v>
      </c>
      <c r="P733" t="str">
        <f t="shared" si="34"/>
        <v>technology</v>
      </c>
      <c r="Q733" t="str">
        <f t="shared" si="35"/>
        <v>web</v>
      </c>
    </row>
    <row r="734" spans="1:17" x14ac:dyDescent="0.3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t="s">
        <v>14</v>
      </c>
      <c r="G734">
        <v>1121</v>
      </c>
      <c r="H734" t="s">
        <v>21</v>
      </c>
      <c r="I734" t="s">
        <v>22</v>
      </c>
      <c r="J734">
        <v>1490158800</v>
      </c>
      <c r="K734">
        <v>1492146000</v>
      </c>
      <c r="L734" t="b">
        <v>0</v>
      </c>
      <c r="M734" t="b">
        <v>1</v>
      </c>
      <c r="N734" t="s">
        <v>23</v>
      </c>
      <c r="O734" s="4">
        <f t="shared" si="33"/>
        <v>1.0871383174443887</v>
      </c>
      <c r="P734" t="str">
        <f t="shared" si="34"/>
        <v>music</v>
      </c>
      <c r="Q734" t="str">
        <f t="shared" si="35"/>
        <v>rock</v>
      </c>
    </row>
    <row r="735" spans="1:17" x14ac:dyDescent="0.3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t="s">
        <v>20</v>
      </c>
      <c r="G735">
        <v>980</v>
      </c>
      <c r="H735" t="s">
        <v>21</v>
      </c>
      <c r="I735" t="s">
        <v>22</v>
      </c>
      <c r="J735">
        <v>1406178000</v>
      </c>
      <c r="K735">
        <v>1407301200</v>
      </c>
      <c r="L735" t="b">
        <v>0</v>
      </c>
      <c r="M735" t="b">
        <v>0</v>
      </c>
      <c r="N735" t="s">
        <v>148</v>
      </c>
      <c r="O735" s="4">
        <f t="shared" si="33"/>
        <v>0.18975104182929611</v>
      </c>
      <c r="P735" t="str">
        <f t="shared" si="34"/>
        <v>music</v>
      </c>
      <c r="Q735" t="str">
        <f t="shared" si="35"/>
        <v>metal</v>
      </c>
    </row>
    <row r="736" spans="1:17" x14ac:dyDescent="0.3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t="s">
        <v>20</v>
      </c>
      <c r="G736">
        <v>536</v>
      </c>
      <c r="H736" t="s">
        <v>21</v>
      </c>
      <c r="I736" t="s">
        <v>22</v>
      </c>
      <c r="J736">
        <v>1485583200</v>
      </c>
      <c r="K736">
        <v>1486620000</v>
      </c>
      <c r="L736" t="b">
        <v>0</v>
      </c>
      <c r="M736" t="b">
        <v>1</v>
      </c>
      <c r="N736" t="s">
        <v>33</v>
      </c>
      <c r="O736" s="4">
        <f t="shared" si="33"/>
        <v>0.31333930170098478</v>
      </c>
      <c r="P736" t="str">
        <f t="shared" si="34"/>
        <v>theater</v>
      </c>
      <c r="Q736" t="str">
        <f t="shared" si="35"/>
        <v>plays</v>
      </c>
    </row>
    <row r="737" spans="1:17" ht="31.2" x14ac:dyDescent="0.3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t="s">
        <v>20</v>
      </c>
      <c r="G737">
        <v>1991</v>
      </c>
      <c r="H737" t="s">
        <v>21</v>
      </c>
      <c r="I737" t="s">
        <v>22</v>
      </c>
      <c r="J737">
        <v>1459314000</v>
      </c>
      <c r="K737">
        <v>1459918800</v>
      </c>
      <c r="L737" t="b">
        <v>0</v>
      </c>
      <c r="M737" t="b">
        <v>0</v>
      </c>
      <c r="N737" t="s">
        <v>122</v>
      </c>
      <c r="O737" s="4">
        <f t="shared" si="33"/>
        <v>0.28233539313871725</v>
      </c>
      <c r="P737" t="str">
        <f t="shared" si="34"/>
        <v>photography</v>
      </c>
      <c r="Q737" t="str">
        <f t="shared" si="35"/>
        <v>photography books</v>
      </c>
    </row>
    <row r="738" spans="1:17" x14ac:dyDescent="0.3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t="s">
        <v>74</v>
      </c>
      <c r="G738">
        <v>29</v>
      </c>
      <c r="H738" t="s">
        <v>21</v>
      </c>
      <c r="I738" t="s">
        <v>22</v>
      </c>
      <c r="J738">
        <v>1424412000</v>
      </c>
      <c r="K738">
        <v>1424757600</v>
      </c>
      <c r="L738" t="b">
        <v>0</v>
      </c>
      <c r="M738" t="b">
        <v>0</v>
      </c>
      <c r="N738" t="s">
        <v>68</v>
      </c>
      <c r="O738" s="4">
        <f t="shared" si="33"/>
        <v>3.0398736675878406</v>
      </c>
      <c r="P738" t="str">
        <f t="shared" si="34"/>
        <v>publishing</v>
      </c>
      <c r="Q738" t="str">
        <f t="shared" si="35"/>
        <v>nonfiction</v>
      </c>
    </row>
    <row r="739" spans="1:17" ht="31.2" x14ac:dyDescent="0.3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t="s">
        <v>20</v>
      </c>
      <c r="G739">
        <v>180</v>
      </c>
      <c r="H739" t="s">
        <v>21</v>
      </c>
      <c r="I739" t="s">
        <v>22</v>
      </c>
      <c r="J739">
        <v>1478844000</v>
      </c>
      <c r="K739">
        <v>1479880800</v>
      </c>
      <c r="L739" t="b">
        <v>0</v>
      </c>
      <c r="M739" t="b">
        <v>0</v>
      </c>
      <c r="N739" t="s">
        <v>60</v>
      </c>
      <c r="O739" s="4">
        <f t="shared" si="33"/>
        <v>0.73587907716785994</v>
      </c>
      <c r="P739" t="str">
        <f t="shared" si="34"/>
        <v>music</v>
      </c>
      <c r="Q739" t="str">
        <f t="shared" si="35"/>
        <v>indie rock</v>
      </c>
    </row>
    <row r="740" spans="1:17" ht="31.2" x14ac:dyDescent="0.3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t="s">
        <v>14</v>
      </c>
      <c r="G740">
        <v>15</v>
      </c>
      <c r="H740" t="s">
        <v>21</v>
      </c>
      <c r="I740" t="s">
        <v>22</v>
      </c>
      <c r="J740">
        <v>1416117600</v>
      </c>
      <c r="K740">
        <v>1418018400</v>
      </c>
      <c r="L740" t="b">
        <v>0</v>
      </c>
      <c r="M740" t="b">
        <v>1</v>
      </c>
      <c r="N740" t="s">
        <v>33</v>
      </c>
      <c r="O740" s="4">
        <f t="shared" si="33"/>
        <v>47.97687861271676</v>
      </c>
      <c r="P740" t="str">
        <f t="shared" si="34"/>
        <v>theater</v>
      </c>
      <c r="Q740" t="str">
        <f t="shared" si="35"/>
        <v>plays</v>
      </c>
    </row>
    <row r="741" spans="1:17" x14ac:dyDescent="0.3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t="s">
        <v>14</v>
      </c>
      <c r="G741">
        <v>191</v>
      </c>
      <c r="H741" t="s">
        <v>21</v>
      </c>
      <c r="I741" t="s">
        <v>22</v>
      </c>
      <c r="J741">
        <v>1340946000</v>
      </c>
      <c r="K741">
        <v>1341032400</v>
      </c>
      <c r="L741" t="b">
        <v>0</v>
      </c>
      <c r="M741" t="b">
        <v>0</v>
      </c>
      <c r="N741" t="s">
        <v>60</v>
      </c>
      <c r="O741" s="4">
        <f t="shared" si="33"/>
        <v>1.639344262295082</v>
      </c>
      <c r="P741" t="str">
        <f t="shared" si="34"/>
        <v>music</v>
      </c>
      <c r="Q741" t="str">
        <f t="shared" si="35"/>
        <v>indie rock</v>
      </c>
    </row>
    <row r="742" spans="1:17" ht="31.2" x14ac:dyDescent="0.3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t="s">
        <v>14</v>
      </c>
      <c r="G742">
        <v>16</v>
      </c>
      <c r="H742" t="s">
        <v>21</v>
      </c>
      <c r="I742" t="s">
        <v>22</v>
      </c>
      <c r="J742">
        <v>1486101600</v>
      </c>
      <c r="K742">
        <v>1486360800</v>
      </c>
      <c r="L742" t="b">
        <v>0</v>
      </c>
      <c r="M742" t="b">
        <v>0</v>
      </c>
      <c r="N742" t="s">
        <v>33</v>
      </c>
      <c r="O742" s="4">
        <f t="shared" si="33"/>
        <v>3.329145728643216</v>
      </c>
      <c r="P742" t="str">
        <f t="shared" si="34"/>
        <v>theater</v>
      </c>
      <c r="Q742" t="str">
        <f t="shared" si="35"/>
        <v>plays</v>
      </c>
    </row>
    <row r="743" spans="1:17" x14ac:dyDescent="0.3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t="s">
        <v>20</v>
      </c>
      <c r="G743">
        <v>130</v>
      </c>
      <c r="H743" t="s">
        <v>21</v>
      </c>
      <c r="I743" t="s">
        <v>22</v>
      </c>
      <c r="J743">
        <v>1274590800</v>
      </c>
      <c r="K743">
        <v>1274677200</v>
      </c>
      <c r="L743" t="b">
        <v>0</v>
      </c>
      <c r="M743" t="b">
        <v>0</v>
      </c>
      <c r="N743" t="s">
        <v>33</v>
      </c>
      <c r="O743" s="4">
        <f t="shared" si="33"/>
        <v>8.4805653710247356E-2</v>
      </c>
      <c r="P743" t="str">
        <f t="shared" si="34"/>
        <v>theater</v>
      </c>
      <c r="Q743" t="str">
        <f t="shared" si="35"/>
        <v>plays</v>
      </c>
    </row>
    <row r="744" spans="1:17" x14ac:dyDescent="0.3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t="s">
        <v>20</v>
      </c>
      <c r="G744">
        <v>122</v>
      </c>
      <c r="H744" t="s">
        <v>21</v>
      </c>
      <c r="I744" t="s">
        <v>22</v>
      </c>
      <c r="J744">
        <v>1263880800</v>
      </c>
      <c r="K744">
        <v>1267509600</v>
      </c>
      <c r="L744" t="b">
        <v>0</v>
      </c>
      <c r="M744" t="b">
        <v>0</v>
      </c>
      <c r="N744" t="s">
        <v>50</v>
      </c>
      <c r="O744" s="4">
        <f t="shared" si="33"/>
        <v>8.8803374528232074E-2</v>
      </c>
      <c r="P744" t="str">
        <f t="shared" si="34"/>
        <v>music</v>
      </c>
      <c r="Q744" t="str">
        <f t="shared" si="35"/>
        <v>electric music</v>
      </c>
    </row>
    <row r="745" spans="1:17" ht="31.2" x14ac:dyDescent="0.3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t="s">
        <v>14</v>
      </c>
      <c r="G745">
        <v>17</v>
      </c>
      <c r="H745" t="s">
        <v>21</v>
      </c>
      <c r="I745" t="s">
        <v>22</v>
      </c>
      <c r="J745">
        <v>1445403600</v>
      </c>
      <c r="K745">
        <v>1445922000</v>
      </c>
      <c r="L745" t="b">
        <v>0</v>
      </c>
      <c r="M745" t="b">
        <v>1</v>
      </c>
      <c r="N745" t="s">
        <v>33</v>
      </c>
      <c r="O745" s="4">
        <f t="shared" si="33"/>
        <v>7.7380952380952381</v>
      </c>
      <c r="P745" t="str">
        <f t="shared" si="34"/>
        <v>theater</v>
      </c>
      <c r="Q745" t="str">
        <f t="shared" si="35"/>
        <v>plays</v>
      </c>
    </row>
    <row r="746" spans="1:17" x14ac:dyDescent="0.3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t="s">
        <v>20</v>
      </c>
      <c r="G746">
        <v>140</v>
      </c>
      <c r="H746" t="s">
        <v>21</v>
      </c>
      <c r="I746" t="s">
        <v>22</v>
      </c>
      <c r="J746">
        <v>1533877200</v>
      </c>
      <c r="K746">
        <v>1534050000</v>
      </c>
      <c r="L746" t="b">
        <v>0</v>
      </c>
      <c r="M746" t="b">
        <v>1</v>
      </c>
      <c r="N746" t="s">
        <v>33</v>
      </c>
      <c r="O746" s="4">
        <f t="shared" si="33"/>
        <v>0.1404494382022472</v>
      </c>
      <c r="P746" t="str">
        <f t="shared" si="34"/>
        <v>theater</v>
      </c>
      <c r="Q746" t="str">
        <f t="shared" si="35"/>
        <v>plays</v>
      </c>
    </row>
    <row r="747" spans="1:17" ht="31.2" x14ac:dyDescent="0.3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t="s">
        <v>14</v>
      </c>
      <c r="G747">
        <v>34</v>
      </c>
      <c r="H747" t="s">
        <v>21</v>
      </c>
      <c r="I747" t="s">
        <v>22</v>
      </c>
      <c r="J747">
        <v>1275195600</v>
      </c>
      <c r="K747">
        <v>1277528400</v>
      </c>
      <c r="L747" t="b">
        <v>0</v>
      </c>
      <c r="M747" t="b">
        <v>0</v>
      </c>
      <c r="N747" t="s">
        <v>65</v>
      </c>
      <c r="O747" s="4">
        <f t="shared" si="33"/>
        <v>3.2998565279770444</v>
      </c>
      <c r="P747" t="str">
        <f t="shared" si="34"/>
        <v>technology</v>
      </c>
      <c r="Q747" t="str">
        <f t="shared" si="35"/>
        <v>wearables</v>
      </c>
    </row>
    <row r="748" spans="1:17" x14ac:dyDescent="0.3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t="s">
        <v>20</v>
      </c>
      <c r="G748">
        <v>3388</v>
      </c>
      <c r="H748" t="s">
        <v>21</v>
      </c>
      <c r="I748" t="s">
        <v>22</v>
      </c>
      <c r="J748">
        <v>1318136400</v>
      </c>
      <c r="K748">
        <v>1318568400</v>
      </c>
      <c r="L748" t="b">
        <v>0</v>
      </c>
      <c r="M748" t="b">
        <v>0</v>
      </c>
      <c r="N748" t="s">
        <v>28</v>
      </c>
      <c r="O748" s="4">
        <f t="shared" si="33"/>
        <v>0.47056839264631473</v>
      </c>
      <c r="P748" t="str">
        <f t="shared" si="34"/>
        <v>technology</v>
      </c>
      <c r="Q748" t="str">
        <f t="shared" si="35"/>
        <v>web</v>
      </c>
    </row>
    <row r="749" spans="1:17" x14ac:dyDescent="0.3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t="s">
        <v>20</v>
      </c>
      <c r="G749">
        <v>280</v>
      </c>
      <c r="H749" t="s">
        <v>21</v>
      </c>
      <c r="I749" t="s">
        <v>22</v>
      </c>
      <c r="J749">
        <v>1283403600</v>
      </c>
      <c r="K749">
        <v>1284354000</v>
      </c>
      <c r="L749" t="b">
        <v>0</v>
      </c>
      <c r="M749" t="b">
        <v>0</v>
      </c>
      <c r="N749" t="s">
        <v>33</v>
      </c>
      <c r="O749" s="4">
        <f t="shared" si="33"/>
        <v>0.43695380774032461</v>
      </c>
      <c r="P749" t="str">
        <f t="shared" si="34"/>
        <v>theater</v>
      </c>
      <c r="Q749" t="str">
        <f t="shared" si="35"/>
        <v>plays</v>
      </c>
    </row>
    <row r="750" spans="1:17" x14ac:dyDescent="0.3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t="s">
        <v>74</v>
      </c>
      <c r="G750">
        <v>614</v>
      </c>
      <c r="H750" t="s">
        <v>21</v>
      </c>
      <c r="I750" t="s">
        <v>22</v>
      </c>
      <c r="J750">
        <v>1267423200</v>
      </c>
      <c r="K750">
        <v>1269579600</v>
      </c>
      <c r="L750" t="b">
        <v>0</v>
      </c>
      <c r="M750" t="b">
        <v>1</v>
      </c>
      <c r="N750" t="s">
        <v>71</v>
      </c>
      <c r="O750" s="4">
        <f t="shared" si="33"/>
        <v>2.8604135785256175</v>
      </c>
      <c r="P750" t="str">
        <f t="shared" si="34"/>
        <v>film &amp; video</v>
      </c>
      <c r="Q750" t="str">
        <f t="shared" si="35"/>
        <v>animation</v>
      </c>
    </row>
    <row r="751" spans="1:17" x14ac:dyDescent="0.3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t="s">
        <v>20</v>
      </c>
      <c r="G751">
        <v>366</v>
      </c>
      <c r="H751" t="s">
        <v>107</v>
      </c>
      <c r="I751" t="s">
        <v>108</v>
      </c>
      <c r="J751">
        <v>1412744400</v>
      </c>
      <c r="K751">
        <v>1413781200</v>
      </c>
      <c r="L751" t="b">
        <v>0</v>
      </c>
      <c r="M751" t="b">
        <v>1</v>
      </c>
      <c r="N751" t="s">
        <v>65</v>
      </c>
      <c r="O751" s="4">
        <f t="shared" si="33"/>
        <v>0.63576550602498705</v>
      </c>
      <c r="P751" t="str">
        <f t="shared" si="34"/>
        <v>technology</v>
      </c>
      <c r="Q751" t="str">
        <f t="shared" si="35"/>
        <v>wearables</v>
      </c>
    </row>
    <row r="752" spans="1:17" ht="31.2" x14ac:dyDescent="0.3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t="s">
        <v>14</v>
      </c>
      <c r="G752">
        <v>1</v>
      </c>
      <c r="H752" t="s">
        <v>40</v>
      </c>
      <c r="I752" t="s">
        <v>41</v>
      </c>
      <c r="J752">
        <v>1277960400</v>
      </c>
      <c r="K752">
        <v>1280120400</v>
      </c>
      <c r="L752" t="b">
        <v>0</v>
      </c>
      <c r="M752" t="b">
        <v>0</v>
      </c>
      <c r="N752" t="s">
        <v>50</v>
      </c>
      <c r="O752" s="4">
        <f t="shared" si="33"/>
        <v>100</v>
      </c>
      <c r="P752" t="str">
        <f t="shared" si="34"/>
        <v>music</v>
      </c>
      <c r="Q752" t="str">
        <f t="shared" si="35"/>
        <v>electric music</v>
      </c>
    </row>
    <row r="753" spans="1:17" x14ac:dyDescent="0.3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t="s">
        <v>20</v>
      </c>
      <c r="G753">
        <v>270</v>
      </c>
      <c r="H753" t="s">
        <v>21</v>
      </c>
      <c r="I753" t="s">
        <v>22</v>
      </c>
      <c r="J753">
        <v>1458190800</v>
      </c>
      <c r="K753">
        <v>1459486800</v>
      </c>
      <c r="L753" t="b">
        <v>1</v>
      </c>
      <c r="M753" t="b">
        <v>1</v>
      </c>
      <c r="N753" t="s">
        <v>68</v>
      </c>
      <c r="O753" s="4">
        <f t="shared" si="33"/>
        <v>0.43046753557335882</v>
      </c>
      <c r="P753" t="str">
        <f t="shared" si="34"/>
        <v>publishing</v>
      </c>
      <c r="Q753" t="str">
        <f t="shared" si="35"/>
        <v>nonfiction</v>
      </c>
    </row>
    <row r="754" spans="1:17" x14ac:dyDescent="0.3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t="s">
        <v>74</v>
      </c>
      <c r="G754">
        <v>114</v>
      </c>
      <c r="H754" t="s">
        <v>21</v>
      </c>
      <c r="I754" t="s">
        <v>22</v>
      </c>
      <c r="J754">
        <v>1280984400</v>
      </c>
      <c r="K754">
        <v>1282539600</v>
      </c>
      <c r="L754" t="b">
        <v>0</v>
      </c>
      <c r="M754" t="b">
        <v>1</v>
      </c>
      <c r="N754" t="s">
        <v>33</v>
      </c>
      <c r="O754" s="4">
        <f t="shared" si="33"/>
        <v>1.081685938082805</v>
      </c>
      <c r="P754" t="str">
        <f t="shared" si="34"/>
        <v>theater</v>
      </c>
      <c r="Q754" t="str">
        <f t="shared" si="35"/>
        <v>plays</v>
      </c>
    </row>
    <row r="755" spans="1:17" x14ac:dyDescent="0.3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t="s">
        <v>20</v>
      </c>
      <c r="G755">
        <v>137</v>
      </c>
      <c r="H755" t="s">
        <v>21</v>
      </c>
      <c r="I755" t="s">
        <v>22</v>
      </c>
      <c r="J755">
        <v>1274590800</v>
      </c>
      <c r="K755">
        <v>1275886800</v>
      </c>
      <c r="L755" t="b">
        <v>0</v>
      </c>
      <c r="M755" t="b">
        <v>0</v>
      </c>
      <c r="N755" t="s">
        <v>122</v>
      </c>
      <c r="O755" s="4">
        <f t="shared" si="33"/>
        <v>0.38955656858682136</v>
      </c>
      <c r="P755" t="str">
        <f t="shared" si="34"/>
        <v>photography</v>
      </c>
      <c r="Q755" t="str">
        <f t="shared" si="35"/>
        <v>photography books</v>
      </c>
    </row>
    <row r="756" spans="1:17" x14ac:dyDescent="0.3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t="s">
        <v>20</v>
      </c>
      <c r="G756">
        <v>3205</v>
      </c>
      <c r="H756" t="s">
        <v>21</v>
      </c>
      <c r="I756" t="s">
        <v>22</v>
      </c>
      <c r="J756">
        <v>1351400400</v>
      </c>
      <c r="K756">
        <v>1355983200</v>
      </c>
      <c r="L756" t="b">
        <v>0</v>
      </c>
      <c r="M756" t="b">
        <v>0</v>
      </c>
      <c r="N756" t="s">
        <v>33</v>
      </c>
      <c r="O756" s="4">
        <f t="shared" si="33"/>
        <v>0.59357689097240374</v>
      </c>
      <c r="P756" t="str">
        <f t="shared" si="34"/>
        <v>theater</v>
      </c>
      <c r="Q756" t="str">
        <f t="shared" si="35"/>
        <v>plays</v>
      </c>
    </row>
    <row r="757" spans="1:17" x14ac:dyDescent="0.3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t="s">
        <v>20</v>
      </c>
      <c r="G757">
        <v>288</v>
      </c>
      <c r="H757" t="s">
        <v>36</v>
      </c>
      <c r="I757" t="s">
        <v>37</v>
      </c>
      <c r="J757">
        <v>1514354400</v>
      </c>
      <c r="K757">
        <v>1515391200</v>
      </c>
      <c r="L757" t="b">
        <v>0</v>
      </c>
      <c r="M757" t="b">
        <v>1</v>
      </c>
      <c r="N757" t="s">
        <v>33</v>
      </c>
      <c r="O757" s="4">
        <f t="shared" si="33"/>
        <v>0.60032017075773747</v>
      </c>
      <c r="P757" t="str">
        <f t="shared" si="34"/>
        <v>theater</v>
      </c>
      <c r="Q757" t="str">
        <f t="shared" si="35"/>
        <v>plays</v>
      </c>
    </row>
    <row r="758" spans="1:17" ht="31.2" x14ac:dyDescent="0.3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t="s">
        <v>20</v>
      </c>
      <c r="G758">
        <v>148</v>
      </c>
      <c r="H758" t="s">
        <v>21</v>
      </c>
      <c r="I758" t="s">
        <v>22</v>
      </c>
      <c r="J758">
        <v>1421733600</v>
      </c>
      <c r="K758">
        <v>1422252000</v>
      </c>
      <c r="L758" t="b">
        <v>0</v>
      </c>
      <c r="M758" t="b">
        <v>0</v>
      </c>
      <c r="N758" t="s">
        <v>33</v>
      </c>
      <c r="O758" s="4">
        <f t="shared" si="33"/>
        <v>0.12952077313938429</v>
      </c>
      <c r="P758" t="str">
        <f t="shared" si="34"/>
        <v>theater</v>
      </c>
      <c r="Q758" t="str">
        <f t="shared" si="35"/>
        <v>plays</v>
      </c>
    </row>
    <row r="759" spans="1:17" x14ac:dyDescent="0.3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t="s">
        <v>20</v>
      </c>
      <c r="G759">
        <v>114</v>
      </c>
      <c r="H759" t="s">
        <v>21</v>
      </c>
      <c r="I759" t="s">
        <v>22</v>
      </c>
      <c r="J759">
        <v>1305176400</v>
      </c>
      <c r="K759">
        <v>1305522000</v>
      </c>
      <c r="L759" t="b">
        <v>0</v>
      </c>
      <c r="M759" t="b">
        <v>0</v>
      </c>
      <c r="N759" t="s">
        <v>53</v>
      </c>
      <c r="O759" s="4">
        <f t="shared" si="33"/>
        <v>0.24578651685393257</v>
      </c>
      <c r="P759" t="str">
        <f t="shared" si="34"/>
        <v>film &amp; video</v>
      </c>
      <c r="Q759" t="str">
        <f t="shared" si="35"/>
        <v>drama</v>
      </c>
    </row>
    <row r="760" spans="1:17" x14ac:dyDescent="0.3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t="s">
        <v>20</v>
      </c>
      <c r="G760">
        <v>1518</v>
      </c>
      <c r="H760" t="s">
        <v>15</v>
      </c>
      <c r="I760" t="s">
        <v>16</v>
      </c>
      <c r="J760">
        <v>1414126800</v>
      </c>
      <c r="K760">
        <v>1414904400</v>
      </c>
      <c r="L760" t="b">
        <v>0</v>
      </c>
      <c r="M760" t="b">
        <v>0</v>
      </c>
      <c r="N760" t="s">
        <v>23</v>
      </c>
      <c r="O760" s="4">
        <f t="shared" si="33"/>
        <v>0.17724020238915003</v>
      </c>
      <c r="P760" t="str">
        <f t="shared" si="34"/>
        <v>music</v>
      </c>
      <c r="Q760" t="str">
        <f t="shared" si="35"/>
        <v>rock</v>
      </c>
    </row>
    <row r="761" spans="1:17" ht="31.2" x14ac:dyDescent="0.3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t="s">
        <v>14</v>
      </c>
      <c r="G761">
        <v>1274</v>
      </c>
      <c r="H761" t="s">
        <v>21</v>
      </c>
      <c r="I761" t="s">
        <v>22</v>
      </c>
      <c r="J761">
        <v>1517810400</v>
      </c>
      <c r="K761">
        <v>1520402400</v>
      </c>
      <c r="L761" t="b">
        <v>0</v>
      </c>
      <c r="M761" t="b">
        <v>0</v>
      </c>
      <c r="N761" t="s">
        <v>50</v>
      </c>
      <c r="O761" s="4">
        <f t="shared" si="33"/>
        <v>1.4614143000479867</v>
      </c>
      <c r="P761" t="str">
        <f t="shared" si="34"/>
        <v>music</v>
      </c>
      <c r="Q761" t="str">
        <f t="shared" si="35"/>
        <v>electric music</v>
      </c>
    </row>
    <row r="762" spans="1:17" x14ac:dyDescent="0.3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t="s">
        <v>14</v>
      </c>
      <c r="G762">
        <v>210</v>
      </c>
      <c r="H762" t="s">
        <v>107</v>
      </c>
      <c r="I762" t="s">
        <v>108</v>
      </c>
      <c r="J762">
        <v>1564635600</v>
      </c>
      <c r="K762">
        <v>1567141200</v>
      </c>
      <c r="L762" t="b">
        <v>0</v>
      </c>
      <c r="M762" t="b">
        <v>1</v>
      </c>
      <c r="N762" t="s">
        <v>89</v>
      </c>
      <c r="O762" s="4">
        <f t="shared" si="33"/>
        <v>2.9110414657666346</v>
      </c>
      <c r="P762" t="str">
        <f t="shared" si="34"/>
        <v>games</v>
      </c>
      <c r="Q762" t="str">
        <f t="shared" si="35"/>
        <v>video games</v>
      </c>
    </row>
    <row r="763" spans="1:17" x14ac:dyDescent="0.3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t="s">
        <v>20</v>
      </c>
      <c r="G763">
        <v>166</v>
      </c>
      <c r="H763" t="s">
        <v>21</v>
      </c>
      <c r="I763" t="s">
        <v>22</v>
      </c>
      <c r="J763">
        <v>1500699600</v>
      </c>
      <c r="K763">
        <v>1501131600</v>
      </c>
      <c r="L763" t="b">
        <v>0</v>
      </c>
      <c r="M763" t="b">
        <v>0</v>
      </c>
      <c r="N763" t="s">
        <v>23</v>
      </c>
      <c r="O763" s="4">
        <f t="shared" si="33"/>
        <v>0.15256588072122051</v>
      </c>
      <c r="P763" t="str">
        <f t="shared" si="34"/>
        <v>music</v>
      </c>
      <c r="Q763" t="str">
        <f t="shared" si="35"/>
        <v>rock</v>
      </c>
    </row>
    <row r="764" spans="1:17" x14ac:dyDescent="0.3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t="s">
        <v>20</v>
      </c>
      <c r="G764">
        <v>100</v>
      </c>
      <c r="H764" t="s">
        <v>26</v>
      </c>
      <c r="I764" t="s">
        <v>27</v>
      </c>
      <c r="J764">
        <v>1354082400</v>
      </c>
      <c r="K764">
        <v>1355032800</v>
      </c>
      <c r="L764" t="b">
        <v>0</v>
      </c>
      <c r="M764" t="b">
        <v>0</v>
      </c>
      <c r="N764" t="s">
        <v>159</v>
      </c>
      <c r="O764" s="4">
        <f t="shared" si="33"/>
        <v>0.56415215989684075</v>
      </c>
      <c r="P764" t="str">
        <f t="shared" si="34"/>
        <v>music</v>
      </c>
      <c r="Q764" t="str">
        <f t="shared" si="35"/>
        <v>jazz</v>
      </c>
    </row>
    <row r="765" spans="1:17" x14ac:dyDescent="0.3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t="s">
        <v>20</v>
      </c>
      <c r="G765">
        <v>235</v>
      </c>
      <c r="H765" t="s">
        <v>21</v>
      </c>
      <c r="I765" t="s">
        <v>22</v>
      </c>
      <c r="J765">
        <v>1336453200</v>
      </c>
      <c r="K765">
        <v>1339477200</v>
      </c>
      <c r="L765" t="b">
        <v>0</v>
      </c>
      <c r="M765" t="b">
        <v>1</v>
      </c>
      <c r="N765" t="s">
        <v>33</v>
      </c>
      <c r="O765" s="4">
        <f t="shared" si="33"/>
        <v>0.88355948248658878</v>
      </c>
      <c r="P765" t="str">
        <f t="shared" si="34"/>
        <v>theater</v>
      </c>
      <c r="Q765" t="str">
        <f t="shared" si="35"/>
        <v>plays</v>
      </c>
    </row>
    <row r="766" spans="1:17" ht="31.2" x14ac:dyDescent="0.3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t="s">
        <v>20</v>
      </c>
      <c r="G766">
        <v>148</v>
      </c>
      <c r="H766" t="s">
        <v>21</v>
      </c>
      <c r="I766" t="s">
        <v>22</v>
      </c>
      <c r="J766">
        <v>1305262800</v>
      </c>
      <c r="K766">
        <v>1305954000</v>
      </c>
      <c r="L766" t="b">
        <v>0</v>
      </c>
      <c r="M766" t="b">
        <v>0</v>
      </c>
      <c r="N766" t="s">
        <v>23</v>
      </c>
      <c r="O766" s="4">
        <f t="shared" si="33"/>
        <v>0.13732833957553059</v>
      </c>
      <c r="P766" t="str">
        <f t="shared" si="34"/>
        <v>music</v>
      </c>
      <c r="Q766" t="str">
        <f t="shared" si="35"/>
        <v>rock</v>
      </c>
    </row>
    <row r="767" spans="1:17" x14ac:dyDescent="0.3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t="s">
        <v>20</v>
      </c>
      <c r="G767">
        <v>198</v>
      </c>
      <c r="H767" t="s">
        <v>21</v>
      </c>
      <c r="I767" t="s">
        <v>22</v>
      </c>
      <c r="J767">
        <v>1492232400</v>
      </c>
      <c r="K767">
        <v>1494392400</v>
      </c>
      <c r="L767" t="b">
        <v>1</v>
      </c>
      <c r="M767" t="b">
        <v>1</v>
      </c>
      <c r="N767" t="s">
        <v>60</v>
      </c>
      <c r="O767" s="4">
        <f t="shared" si="33"/>
        <v>0.48</v>
      </c>
      <c r="P767" t="str">
        <f t="shared" si="34"/>
        <v>music</v>
      </c>
      <c r="Q767" t="str">
        <f t="shared" si="35"/>
        <v>indie rock</v>
      </c>
    </row>
    <row r="768" spans="1:17" ht="31.2" x14ac:dyDescent="0.3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t="s">
        <v>14</v>
      </c>
      <c r="G768">
        <v>248</v>
      </c>
      <c r="H768" t="s">
        <v>26</v>
      </c>
      <c r="I768" t="s">
        <v>27</v>
      </c>
      <c r="J768">
        <v>1537333200</v>
      </c>
      <c r="K768">
        <v>1537419600</v>
      </c>
      <c r="L768" t="b">
        <v>0</v>
      </c>
      <c r="M768" t="b">
        <v>0</v>
      </c>
      <c r="N768" t="s">
        <v>474</v>
      </c>
      <c r="O768" s="4">
        <f t="shared" si="33"/>
        <v>3.2080861349154031</v>
      </c>
      <c r="P768" t="str">
        <f t="shared" si="34"/>
        <v>film &amp; video</v>
      </c>
      <c r="Q768" t="str">
        <f t="shared" si="35"/>
        <v>science fiction</v>
      </c>
    </row>
    <row r="769" spans="1:17" x14ac:dyDescent="0.3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t="s">
        <v>14</v>
      </c>
      <c r="G769">
        <v>513</v>
      </c>
      <c r="H769" t="s">
        <v>21</v>
      </c>
      <c r="I769" t="s">
        <v>22</v>
      </c>
      <c r="J769">
        <v>1444107600</v>
      </c>
      <c r="K769">
        <v>1447999200</v>
      </c>
      <c r="L769" t="b">
        <v>0</v>
      </c>
      <c r="M769" t="b">
        <v>0</v>
      </c>
      <c r="N769" t="s">
        <v>206</v>
      </c>
      <c r="O769" s="4">
        <f t="shared" si="33"/>
        <v>1.7553998410749114</v>
      </c>
      <c r="P769" t="str">
        <f t="shared" si="34"/>
        <v>publishing</v>
      </c>
      <c r="Q769" t="str">
        <f t="shared" si="35"/>
        <v>translations</v>
      </c>
    </row>
    <row r="770" spans="1:17" x14ac:dyDescent="0.3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t="s">
        <v>20</v>
      </c>
      <c r="G770">
        <v>150</v>
      </c>
      <c r="H770" t="s">
        <v>21</v>
      </c>
      <c r="I770" t="s">
        <v>22</v>
      </c>
      <c r="J770">
        <v>1386741600</v>
      </c>
      <c r="K770">
        <v>1388037600</v>
      </c>
      <c r="L770" t="b">
        <v>0</v>
      </c>
      <c r="M770" t="b">
        <v>0</v>
      </c>
      <c r="N770" t="s">
        <v>33</v>
      </c>
      <c r="O770" s="4">
        <f t="shared" si="33"/>
        <v>0.4329004329004329</v>
      </c>
      <c r="P770" t="str">
        <f t="shared" si="34"/>
        <v>theater</v>
      </c>
      <c r="Q770" t="str">
        <f t="shared" si="35"/>
        <v>plays</v>
      </c>
    </row>
    <row r="771" spans="1:17" x14ac:dyDescent="0.3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t="s">
        <v>14</v>
      </c>
      <c r="G771">
        <v>3410</v>
      </c>
      <c r="H771" t="s">
        <v>21</v>
      </c>
      <c r="I771" t="s">
        <v>22</v>
      </c>
      <c r="J771">
        <v>1376542800</v>
      </c>
      <c r="K771">
        <v>1378789200</v>
      </c>
      <c r="L771" t="b">
        <v>0</v>
      </c>
      <c r="M771" t="b">
        <v>0</v>
      </c>
      <c r="N771" t="s">
        <v>89</v>
      </c>
      <c r="O771" s="4">
        <f t="shared" ref="O771:O834" si="36">D771/E771</f>
        <v>1.1511740875845509</v>
      </c>
      <c r="P771" t="str">
        <f t="shared" ref="P771:P834" si="37">LEFT(N771,SEARCH("/",N771) -1)</f>
        <v>games</v>
      </c>
      <c r="Q771" t="str">
        <f t="shared" ref="Q771:Q834" si="38">RIGHT(N771,LEN(N771)-SEARCH("/",N771))</f>
        <v>video games</v>
      </c>
    </row>
    <row r="772" spans="1:17" ht="31.2" x14ac:dyDescent="0.3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t="s">
        <v>20</v>
      </c>
      <c r="G772">
        <v>216</v>
      </c>
      <c r="H772" t="s">
        <v>107</v>
      </c>
      <c r="I772" t="s">
        <v>108</v>
      </c>
      <c r="J772">
        <v>1397451600</v>
      </c>
      <c r="K772">
        <v>1398056400</v>
      </c>
      <c r="L772" t="b">
        <v>0</v>
      </c>
      <c r="M772" t="b">
        <v>1</v>
      </c>
      <c r="N772" t="s">
        <v>33</v>
      </c>
      <c r="O772" s="4">
        <f t="shared" si="36"/>
        <v>0.36935234495791103</v>
      </c>
      <c r="P772" t="str">
        <f t="shared" si="37"/>
        <v>theater</v>
      </c>
      <c r="Q772" t="str">
        <f t="shared" si="38"/>
        <v>plays</v>
      </c>
    </row>
    <row r="773" spans="1:17" x14ac:dyDescent="0.3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t="s">
        <v>74</v>
      </c>
      <c r="G773">
        <v>26</v>
      </c>
      <c r="H773" t="s">
        <v>21</v>
      </c>
      <c r="I773" t="s">
        <v>22</v>
      </c>
      <c r="J773">
        <v>1548482400</v>
      </c>
      <c r="K773">
        <v>1550815200</v>
      </c>
      <c r="L773" t="b">
        <v>0</v>
      </c>
      <c r="M773" t="b">
        <v>0</v>
      </c>
      <c r="N773" t="s">
        <v>33</v>
      </c>
      <c r="O773" s="4">
        <f t="shared" si="36"/>
        <v>2.0223907547851212</v>
      </c>
      <c r="P773" t="str">
        <f t="shared" si="37"/>
        <v>theater</v>
      </c>
      <c r="Q773" t="str">
        <f t="shared" si="38"/>
        <v>plays</v>
      </c>
    </row>
    <row r="774" spans="1:17" x14ac:dyDescent="0.3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t="s">
        <v>20</v>
      </c>
      <c r="G774">
        <v>5139</v>
      </c>
      <c r="H774" t="s">
        <v>21</v>
      </c>
      <c r="I774" t="s">
        <v>22</v>
      </c>
      <c r="J774">
        <v>1549692000</v>
      </c>
      <c r="K774">
        <v>1550037600</v>
      </c>
      <c r="L774" t="b">
        <v>0</v>
      </c>
      <c r="M774" t="b">
        <v>0</v>
      </c>
      <c r="N774" t="s">
        <v>60</v>
      </c>
      <c r="O774" s="4">
        <f t="shared" si="36"/>
        <v>0.88214829054285138</v>
      </c>
      <c r="P774" t="str">
        <f t="shared" si="37"/>
        <v>music</v>
      </c>
      <c r="Q774" t="str">
        <f t="shared" si="38"/>
        <v>indie rock</v>
      </c>
    </row>
    <row r="775" spans="1:17" x14ac:dyDescent="0.3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t="s">
        <v>20</v>
      </c>
      <c r="G775">
        <v>2353</v>
      </c>
      <c r="H775" t="s">
        <v>21</v>
      </c>
      <c r="I775" t="s">
        <v>22</v>
      </c>
      <c r="J775">
        <v>1492059600</v>
      </c>
      <c r="K775">
        <v>1492923600</v>
      </c>
      <c r="L775" t="b">
        <v>0</v>
      </c>
      <c r="M775" t="b">
        <v>0</v>
      </c>
      <c r="N775" t="s">
        <v>33</v>
      </c>
      <c r="O775" s="4">
        <f t="shared" si="36"/>
        <v>0.52478134110787167</v>
      </c>
      <c r="P775" t="str">
        <f t="shared" si="37"/>
        <v>theater</v>
      </c>
      <c r="Q775" t="str">
        <f t="shared" si="38"/>
        <v>plays</v>
      </c>
    </row>
    <row r="776" spans="1:17" x14ac:dyDescent="0.3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t="s">
        <v>20</v>
      </c>
      <c r="G776">
        <v>78</v>
      </c>
      <c r="H776" t="s">
        <v>107</v>
      </c>
      <c r="I776" t="s">
        <v>108</v>
      </c>
      <c r="J776">
        <v>1463979600</v>
      </c>
      <c r="K776">
        <v>1467522000</v>
      </c>
      <c r="L776" t="b">
        <v>0</v>
      </c>
      <c r="M776" t="b">
        <v>0</v>
      </c>
      <c r="N776" t="s">
        <v>28</v>
      </c>
      <c r="O776" s="4">
        <f t="shared" si="36"/>
        <v>0.73800738007380073</v>
      </c>
      <c r="P776" t="str">
        <f t="shared" si="37"/>
        <v>technology</v>
      </c>
      <c r="Q776" t="str">
        <f t="shared" si="38"/>
        <v>web</v>
      </c>
    </row>
    <row r="777" spans="1:17" ht="31.2" x14ac:dyDescent="0.3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t="s">
        <v>14</v>
      </c>
      <c r="G777">
        <v>10</v>
      </c>
      <c r="H777" t="s">
        <v>21</v>
      </c>
      <c r="I777" t="s">
        <v>22</v>
      </c>
      <c r="J777">
        <v>1415253600</v>
      </c>
      <c r="K777">
        <v>1416117600</v>
      </c>
      <c r="L777" t="b">
        <v>0</v>
      </c>
      <c r="M777" t="b">
        <v>0</v>
      </c>
      <c r="N777" t="s">
        <v>23</v>
      </c>
      <c r="O777" s="4">
        <f t="shared" si="36"/>
        <v>9.7107438016528924</v>
      </c>
      <c r="P777" t="str">
        <f t="shared" si="37"/>
        <v>music</v>
      </c>
      <c r="Q777" t="str">
        <f t="shared" si="38"/>
        <v>rock</v>
      </c>
    </row>
    <row r="778" spans="1:17" x14ac:dyDescent="0.3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t="s">
        <v>14</v>
      </c>
      <c r="G778">
        <v>2201</v>
      </c>
      <c r="H778" t="s">
        <v>21</v>
      </c>
      <c r="I778" t="s">
        <v>22</v>
      </c>
      <c r="J778">
        <v>1562216400</v>
      </c>
      <c r="K778">
        <v>1563771600</v>
      </c>
      <c r="L778" t="b">
        <v>0</v>
      </c>
      <c r="M778" t="b">
        <v>0</v>
      </c>
      <c r="N778" t="s">
        <v>33</v>
      </c>
      <c r="O778" s="4">
        <f t="shared" si="36"/>
        <v>1.5256874543877283</v>
      </c>
      <c r="P778" t="str">
        <f t="shared" si="37"/>
        <v>theater</v>
      </c>
      <c r="Q778" t="str">
        <f t="shared" si="38"/>
        <v>plays</v>
      </c>
    </row>
    <row r="779" spans="1:17" x14ac:dyDescent="0.3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t="s">
        <v>14</v>
      </c>
      <c r="G779">
        <v>676</v>
      </c>
      <c r="H779" t="s">
        <v>21</v>
      </c>
      <c r="I779" t="s">
        <v>22</v>
      </c>
      <c r="J779">
        <v>1316754000</v>
      </c>
      <c r="K779">
        <v>1319259600</v>
      </c>
      <c r="L779" t="b">
        <v>0</v>
      </c>
      <c r="M779" t="b">
        <v>0</v>
      </c>
      <c r="N779" t="s">
        <v>33</v>
      </c>
      <c r="O779" s="4">
        <f t="shared" si="36"/>
        <v>2.0397068736816926</v>
      </c>
      <c r="P779" t="str">
        <f t="shared" si="37"/>
        <v>theater</v>
      </c>
      <c r="Q779" t="str">
        <f t="shared" si="38"/>
        <v>plays</v>
      </c>
    </row>
    <row r="780" spans="1:17" x14ac:dyDescent="0.3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t="s">
        <v>20</v>
      </c>
      <c r="G780">
        <v>174</v>
      </c>
      <c r="H780" t="s">
        <v>98</v>
      </c>
      <c r="I780" t="s">
        <v>99</v>
      </c>
      <c r="J780">
        <v>1313211600</v>
      </c>
      <c r="K780">
        <v>1313643600</v>
      </c>
      <c r="L780" t="b">
        <v>0</v>
      </c>
      <c r="M780" t="b">
        <v>0</v>
      </c>
      <c r="N780" t="s">
        <v>71</v>
      </c>
      <c r="O780" s="4">
        <f t="shared" si="36"/>
        <v>0.12691594259494288</v>
      </c>
      <c r="P780" t="str">
        <f t="shared" si="37"/>
        <v>film &amp; video</v>
      </c>
      <c r="Q780" t="str">
        <f t="shared" si="38"/>
        <v>animation</v>
      </c>
    </row>
    <row r="781" spans="1:17" x14ac:dyDescent="0.3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t="s">
        <v>14</v>
      </c>
      <c r="G781">
        <v>831</v>
      </c>
      <c r="H781" t="s">
        <v>21</v>
      </c>
      <c r="I781" t="s">
        <v>22</v>
      </c>
      <c r="J781">
        <v>1439528400</v>
      </c>
      <c r="K781">
        <v>1440306000</v>
      </c>
      <c r="L781" t="b">
        <v>0</v>
      </c>
      <c r="M781" t="b">
        <v>1</v>
      </c>
      <c r="N781" t="s">
        <v>33</v>
      </c>
      <c r="O781" s="4">
        <f t="shared" si="36"/>
        <v>1.2452315764150619</v>
      </c>
      <c r="P781" t="str">
        <f t="shared" si="37"/>
        <v>theater</v>
      </c>
      <c r="Q781" t="str">
        <f t="shared" si="38"/>
        <v>plays</v>
      </c>
    </row>
    <row r="782" spans="1:17" ht="31.2" x14ac:dyDescent="0.3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t="s">
        <v>20</v>
      </c>
      <c r="G782">
        <v>164</v>
      </c>
      <c r="H782" t="s">
        <v>21</v>
      </c>
      <c r="I782" t="s">
        <v>22</v>
      </c>
      <c r="J782">
        <v>1469163600</v>
      </c>
      <c r="K782">
        <v>1470805200</v>
      </c>
      <c r="L782" t="b">
        <v>0</v>
      </c>
      <c r="M782" t="b">
        <v>1</v>
      </c>
      <c r="N782" t="s">
        <v>53</v>
      </c>
      <c r="O782" s="4">
        <f t="shared" si="36"/>
        <v>0.94078583287216377</v>
      </c>
      <c r="P782" t="str">
        <f t="shared" si="37"/>
        <v>film &amp; video</v>
      </c>
      <c r="Q782" t="str">
        <f t="shared" si="38"/>
        <v>drama</v>
      </c>
    </row>
    <row r="783" spans="1:17" x14ac:dyDescent="0.3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t="s">
        <v>74</v>
      </c>
      <c r="G783">
        <v>56</v>
      </c>
      <c r="H783" t="s">
        <v>98</v>
      </c>
      <c r="I783" t="s">
        <v>99</v>
      </c>
      <c r="J783">
        <v>1288501200</v>
      </c>
      <c r="K783">
        <v>1292911200</v>
      </c>
      <c r="L783" t="b">
        <v>0</v>
      </c>
      <c r="M783" t="b">
        <v>0</v>
      </c>
      <c r="N783" t="s">
        <v>33</v>
      </c>
      <c r="O783" s="4">
        <f t="shared" si="36"/>
        <v>1.9710013593112823</v>
      </c>
      <c r="P783" t="str">
        <f t="shared" si="37"/>
        <v>theater</v>
      </c>
      <c r="Q783" t="str">
        <f t="shared" si="38"/>
        <v>plays</v>
      </c>
    </row>
    <row r="784" spans="1:17" x14ac:dyDescent="0.3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t="s">
        <v>20</v>
      </c>
      <c r="G784">
        <v>161</v>
      </c>
      <c r="H784" t="s">
        <v>21</v>
      </c>
      <c r="I784" t="s">
        <v>22</v>
      </c>
      <c r="J784">
        <v>1298959200</v>
      </c>
      <c r="K784">
        <v>1301374800</v>
      </c>
      <c r="L784" t="b">
        <v>0</v>
      </c>
      <c r="M784" t="b">
        <v>1</v>
      </c>
      <c r="N784" t="s">
        <v>71</v>
      </c>
      <c r="O784" s="4">
        <f t="shared" si="36"/>
        <v>0.46443857572170111</v>
      </c>
      <c r="P784" t="str">
        <f t="shared" si="37"/>
        <v>film &amp; video</v>
      </c>
      <c r="Q784" t="str">
        <f t="shared" si="38"/>
        <v>animation</v>
      </c>
    </row>
    <row r="785" spans="1:17" x14ac:dyDescent="0.3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t="s">
        <v>20</v>
      </c>
      <c r="G785">
        <v>138</v>
      </c>
      <c r="H785" t="s">
        <v>21</v>
      </c>
      <c r="I785" t="s">
        <v>22</v>
      </c>
      <c r="J785">
        <v>1387260000</v>
      </c>
      <c r="K785">
        <v>1387864800</v>
      </c>
      <c r="L785" t="b">
        <v>0</v>
      </c>
      <c r="M785" t="b">
        <v>0</v>
      </c>
      <c r="N785" t="s">
        <v>23</v>
      </c>
      <c r="O785" s="4">
        <f t="shared" si="36"/>
        <v>0.70806621375944889</v>
      </c>
      <c r="P785" t="str">
        <f t="shared" si="37"/>
        <v>music</v>
      </c>
      <c r="Q785" t="str">
        <f t="shared" si="38"/>
        <v>rock</v>
      </c>
    </row>
    <row r="786" spans="1:17" x14ac:dyDescent="0.3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t="s">
        <v>20</v>
      </c>
      <c r="G786">
        <v>3308</v>
      </c>
      <c r="H786" t="s">
        <v>21</v>
      </c>
      <c r="I786" t="s">
        <v>22</v>
      </c>
      <c r="J786">
        <v>1457244000</v>
      </c>
      <c r="K786">
        <v>1458190800</v>
      </c>
      <c r="L786" t="b">
        <v>0</v>
      </c>
      <c r="M786" t="b">
        <v>0</v>
      </c>
      <c r="N786" t="s">
        <v>28</v>
      </c>
      <c r="O786" s="4">
        <f t="shared" si="36"/>
        <v>0.86702101721363434</v>
      </c>
      <c r="P786" t="str">
        <f t="shared" si="37"/>
        <v>technology</v>
      </c>
      <c r="Q786" t="str">
        <f t="shared" si="38"/>
        <v>web</v>
      </c>
    </row>
    <row r="787" spans="1:17" ht="31.2" x14ac:dyDescent="0.3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t="s">
        <v>20</v>
      </c>
      <c r="G787">
        <v>127</v>
      </c>
      <c r="H787" t="s">
        <v>26</v>
      </c>
      <c r="I787" t="s">
        <v>27</v>
      </c>
      <c r="J787">
        <v>1556341200</v>
      </c>
      <c r="K787">
        <v>1559278800</v>
      </c>
      <c r="L787" t="b">
        <v>0</v>
      </c>
      <c r="M787" t="b">
        <v>1</v>
      </c>
      <c r="N787" t="s">
        <v>71</v>
      </c>
      <c r="O787" s="4">
        <f t="shared" si="36"/>
        <v>0.51781435968776568</v>
      </c>
      <c r="P787" t="str">
        <f t="shared" si="37"/>
        <v>film &amp; video</v>
      </c>
      <c r="Q787" t="str">
        <f t="shared" si="38"/>
        <v>animation</v>
      </c>
    </row>
    <row r="788" spans="1:17" x14ac:dyDescent="0.3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t="s">
        <v>20</v>
      </c>
      <c r="G788">
        <v>207</v>
      </c>
      <c r="H788" t="s">
        <v>107</v>
      </c>
      <c r="I788" t="s">
        <v>108</v>
      </c>
      <c r="J788">
        <v>1522126800</v>
      </c>
      <c r="K788">
        <v>1522731600</v>
      </c>
      <c r="L788" t="b">
        <v>0</v>
      </c>
      <c r="M788" t="b">
        <v>1</v>
      </c>
      <c r="N788" t="s">
        <v>159</v>
      </c>
      <c r="O788" s="4">
        <f t="shared" si="36"/>
        <v>0.13703636031427005</v>
      </c>
      <c r="P788" t="str">
        <f t="shared" si="37"/>
        <v>music</v>
      </c>
      <c r="Q788" t="str">
        <f t="shared" si="38"/>
        <v>jazz</v>
      </c>
    </row>
    <row r="789" spans="1:17" x14ac:dyDescent="0.3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t="s">
        <v>14</v>
      </c>
      <c r="G789">
        <v>859</v>
      </c>
      <c r="H789" t="s">
        <v>15</v>
      </c>
      <c r="I789" t="s">
        <v>16</v>
      </c>
      <c r="J789">
        <v>1305954000</v>
      </c>
      <c r="K789">
        <v>1306731600</v>
      </c>
      <c r="L789" t="b">
        <v>0</v>
      </c>
      <c r="M789" t="b">
        <v>0</v>
      </c>
      <c r="N789" t="s">
        <v>23</v>
      </c>
      <c r="O789" s="4">
        <f t="shared" si="36"/>
        <v>1.0033773813817752</v>
      </c>
      <c r="P789" t="str">
        <f t="shared" si="37"/>
        <v>music</v>
      </c>
      <c r="Q789" t="str">
        <f t="shared" si="38"/>
        <v>rock</v>
      </c>
    </row>
    <row r="790" spans="1:17" x14ac:dyDescent="0.3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t="s">
        <v>47</v>
      </c>
      <c r="G790">
        <v>31</v>
      </c>
      <c r="H790" t="s">
        <v>21</v>
      </c>
      <c r="I790" t="s">
        <v>22</v>
      </c>
      <c r="J790">
        <v>1350709200</v>
      </c>
      <c r="K790">
        <v>1352527200</v>
      </c>
      <c r="L790" t="b">
        <v>0</v>
      </c>
      <c r="M790" t="b">
        <v>0</v>
      </c>
      <c r="N790" t="s">
        <v>71</v>
      </c>
      <c r="O790" s="4">
        <f t="shared" si="36"/>
        <v>1.1342155009451795</v>
      </c>
      <c r="P790" t="str">
        <f t="shared" si="37"/>
        <v>film &amp; video</v>
      </c>
      <c r="Q790" t="str">
        <f t="shared" si="38"/>
        <v>animation</v>
      </c>
    </row>
    <row r="791" spans="1:17" x14ac:dyDescent="0.3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t="s">
        <v>14</v>
      </c>
      <c r="G791">
        <v>45</v>
      </c>
      <c r="H791" t="s">
        <v>21</v>
      </c>
      <c r="I791" t="s">
        <v>22</v>
      </c>
      <c r="J791">
        <v>1401166800</v>
      </c>
      <c r="K791">
        <v>1404363600</v>
      </c>
      <c r="L791" t="b">
        <v>0</v>
      </c>
      <c r="M791" t="b">
        <v>0</v>
      </c>
      <c r="N791" t="s">
        <v>33</v>
      </c>
      <c r="O791" s="4">
        <f t="shared" si="36"/>
        <v>2.6857654431512983</v>
      </c>
      <c r="P791" t="str">
        <f t="shared" si="37"/>
        <v>theater</v>
      </c>
      <c r="Q791" t="str">
        <f t="shared" si="38"/>
        <v>plays</v>
      </c>
    </row>
    <row r="792" spans="1:17" x14ac:dyDescent="0.3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t="s">
        <v>74</v>
      </c>
      <c r="G792">
        <v>1113</v>
      </c>
      <c r="H792" t="s">
        <v>21</v>
      </c>
      <c r="I792" t="s">
        <v>22</v>
      </c>
      <c r="J792">
        <v>1266127200</v>
      </c>
      <c r="K792">
        <v>1266645600</v>
      </c>
      <c r="L792" t="b">
        <v>0</v>
      </c>
      <c r="M792" t="b">
        <v>0</v>
      </c>
      <c r="N792" t="s">
        <v>33</v>
      </c>
      <c r="O792" s="4">
        <f t="shared" si="36"/>
        <v>3.2743861626800999</v>
      </c>
      <c r="P792" t="str">
        <f t="shared" si="37"/>
        <v>theater</v>
      </c>
      <c r="Q792" t="str">
        <f t="shared" si="38"/>
        <v>plays</v>
      </c>
    </row>
    <row r="793" spans="1:17" x14ac:dyDescent="0.3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t="s">
        <v>14</v>
      </c>
      <c r="G793">
        <v>6</v>
      </c>
      <c r="H793" t="s">
        <v>21</v>
      </c>
      <c r="I793" t="s">
        <v>22</v>
      </c>
      <c r="J793">
        <v>1481436000</v>
      </c>
      <c r="K793">
        <v>1482818400</v>
      </c>
      <c r="L793" t="b">
        <v>0</v>
      </c>
      <c r="M793" t="b">
        <v>0</v>
      </c>
      <c r="N793" t="s">
        <v>17</v>
      </c>
      <c r="O793" s="4">
        <f t="shared" si="36"/>
        <v>3.8888888888888888</v>
      </c>
      <c r="P793" t="str">
        <f t="shared" si="37"/>
        <v>food</v>
      </c>
      <c r="Q793" t="str">
        <f t="shared" si="38"/>
        <v>food trucks</v>
      </c>
    </row>
    <row r="794" spans="1:17" x14ac:dyDescent="0.3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t="s">
        <v>14</v>
      </c>
      <c r="G794">
        <v>7</v>
      </c>
      <c r="H794" t="s">
        <v>21</v>
      </c>
      <c r="I794" t="s">
        <v>22</v>
      </c>
      <c r="J794">
        <v>1372222800</v>
      </c>
      <c r="K794">
        <v>1374642000</v>
      </c>
      <c r="L794" t="b">
        <v>0</v>
      </c>
      <c r="M794" t="b">
        <v>1</v>
      </c>
      <c r="N794" t="s">
        <v>33</v>
      </c>
      <c r="O794" s="4">
        <f t="shared" si="36"/>
        <v>2.9411764705882355</v>
      </c>
      <c r="P794" t="str">
        <f t="shared" si="37"/>
        <v>theater</v>
      </c>
      <c r="Q794" t="str">
        <f t="shared" si="38"/>
        <v>plays</v>
      </c>
    </row>
    <row r="795" spans="1:17" x14ac:dyDescent="0.3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t="s">
        <v>20</v>
      </c>
      <c r="G795">
        <v>181</v>
      </c>
      <c r="H795" t="s">
        <v>98</v>
      </c>
      <c r="I795" t="s">
        <v>99</v>
      </c>
      <c r="J795">
        <v>1372136400</v>
      </c>
      <c r="K795">
        <v>1372482000</v>
      </c>
      <c r="L795" t="b">
        <v>0</v>
      </c>
      <c r="M795" t="b">
        <v>0</v>
      </c>
      <c r="N795" t="s">
        <v>68</v>
      </c>
      <c r="O795" s="4">
        <f t="shared" si="36"/>
        <v>8.4323495592180914E-2</v>
      </c>
      <c r="P795" t="str">
        <f t="shared" si="37"/>
        <v>publishing</v>
      </c>
      <c r="Q795" t="str">
        <f t="shared" si="38"/>
        <v>nonfiction</v>
      </c>
    </row>
    <row r="796" spans="1:17" x14ac:dyDescent="0.3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t="s">
        <v>20</v>
      </c>
      <c r="G796">
        <v>110</v>
      </c>
      <c r="H796" t="s">
        <v>21</v>
      </c>
      <c r="I796" t="s">
        <v>22</v>
      </c>
      <c r="J796">
        <v>1513922400</v>
      </c>
      <c r="K796">
        <v>1514959200</v>
      </c>
      <c r="L796" t="b">
        <v>0</v>
      </c>
      <c r="M796" t="b">
        <v>0</v>
      </c>
      <c r="N796" t="s">
        <v>23</v>
      </c>
      <c r="O796" s="4">
        <f t="shared" si="36"/>
        <v>0.79748670855485737</v>
      </c>
      <c r="P796" t="str">
        <f t="shared" si="37"/>
        <v>music</v>
      </c>
      <c r="Q796" t="str">
        <f t="shared" si="38"/>
        <v>rock</v>
      </c>
    </row>
    <row r="797" spans="1:17" ht="31.2" x14ac:dyDescent="0.3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t="s">
        <v>14</v>
      </c>
      <c r="G797">
        <v>31</v>
      </c>
      <c r="H797" t="s">
        <v>21</v>
      </c>
      <c r="I797" t="s">
        <v>22</v>
      </c>
      <c r="J797">
        <v>1477976400</v>
      </c>
      <c r="K797">
        <v>1478235600</v>
      </c>
      <c r="L797" t="b">
        <v>0</v>
      </c>
      <c r="M797" t="b">
        <v>0</v>
      </c>
      <c r="N797" t="s">
        <v>53</v>
      </c>
      <c r="O797" s="4">
        <f t="shared" si="36"/>
        <v>6.9471624266144811</v>
      </c>
      <c r="P797" t="str">
        <f t="shared" si="37"/>
        <v>film &amp; video</v>
      </c>
      <c r="Q797" t="str">
        <f t="shared" si="38"/>
        <v>drama</v>
      </c>
    </row>
    <row r="798" spans="1:17" x14ac:dyDescent="0.3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t="s">
        <v>14</v>
      </c>
      <c r="G798">
        <v>78</v>
      </c>
      <c r="H798" t="s">
        <v>21</v>
      </c>
      <c r="I798" t="s">
        <v>22</v>
      </c>
      <c r="J798">
        <v>1407474000</v>
      </c>
      <c r="K798">
        <v>1408078800</v>
      </c>
      <c r="L798" t="b">
        <v>0</v>
      </c>
      <c r="M798" t="b">
        <v>1</v>
      </c>
      <c r="N798" t="s">
        <v>292</v>
      </c>
      <c r="O798" s="4">
        <f t="shared" si="36"/>
        <v>1.8245614035087718</v>
      </c>
      <c r="P798" t="str">
        <f t="shared" si="37"/>
        <v>games</v>
      </c>
      <c r="Q798" t="str">
        <f t="shared" si="38"/>
        <v>mobile games</v>
      </c>
    </row>
    <row r="799" spans="1:17" x14ac:dyDescent="0.3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t="s">
        <v>20</v>
      </c>
      <c r="G799">
        <v>185</v>
      </c>
      <c r="H799" t="s">
        <v>21</v>
      </c>
      <c r="I799" t="s">
        <v>22</v>
      </c>
      <c r="J799">
        <v>1546149600</v>
      </c>
      <c r="K799">
        <v>1548136800</v>
      </c>
      <c r="L799" t="b">
        <v>0</v>
      </c>
      <c r="M799" t="b">
        <v>0</v>
      </c>
      <c r="N799" t="s">
        <v>28</v>
      </c>
      <c r="O799" s="4">
        <f t="shared" si="36"/>
        <v>0.91214594335093613</v>
      </c>
      <c r="P799" t="str">
        <f t="shared" si="37"/>
        <v>technology</v>
      </c>
      <c r="Q799" t="str">
        <f t="shared" si="38"/>
        <v>web</v>
      </c>
    </row>
    <row r="800" spans="1:17" x14ac:dyDescent="0.3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t="s">
        <v>20</v>
      </c>
      <c r="G800">
        <v>121</v>
      </c>
      <c r="H800" t="s">
        <v>21</v>
      </c>
      <c r="I800" t="s">
        <v>22</v>
      </c>
      <c r="J800">
        <v>1338440400</v>
      </c>
      <c r="K800">
        <v>1340859600</v>
      </c>
      <c r="L800" t="b">
        <v>0</v>
      </c>
      <c r="M800" t="b">
        <v>1</v>
      </c>
      <c r="N800" t="s">
        <v>33</v>
      </c>
      <c r="O800" s="4">
        <f t="shared" si="36"/>
        <v>0.53058676654182269</v>
      </c>
      <c r="P800" t="str">
        <f t="shared" si="37"/>
        <v>theater</v>
      </c>
      <c r="Q800" t="str">
        <f t="shared" si="38"/>
        <v>plays</v>
      </c>
    </row>
    <row r="801" spans="1:17" x14ac:dyDescent="0.3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t="s">
        <v>14</v>
      </c>
      <c r="G801">
        <v>1225</v>
      </c>
      <c r="H801" t="s">
        <v>40</v>
      </c>
      <c r="I801" t="s">
        <v>41</v>
      </c>
      <c r="J801">
        <v>1454133600</v>
      </c>
      <c r="K801">
        <v>1454479200</v>
      </c>
      <c r="L801" t="b">
        <v>0</v>
      </c>
      <c r="M801" t="b">
        <v>0</v>
      </c>
      <c r="N801" t="s">
        <v>33</v>
      </c>
      <c r="O801" s="4">
        <f t="shared" si="36"/>
        <v>1.1493158510377846</v>
      </c>
      <c r="P801" t="str">
        <f t="shared" si="37"/>
        <v>theater</v>
      </c>
      <c r="Q801" t="str">
        <f t="shared" si="38"/>
        <v>plays</v>
      </c>
    </row>
    <row r="802" spans="1:17" x14ac:dyDescent="0.3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t="s">
        <v>14</v>
      </c>
      <c r="G802">
        <v>1</v>
      </c>
      <c r="H802" t="s">
        <v>98</v>
      </c>
      <c r="I802" t="s">
        <v>99</v>
      </c>
      <c r="J802">
        <v>1434085200</v>
      </c>
      <c r="K802">
        <v>1434430800</v>
      </c>
      <c r="L802" t="b">
        <v>0</v>
      </c>
      <c r="M802" t="b">
        <v>0</v>
      </c>
      <c r="N802" t="s">
        <v>23</v>
      </c>
      <c r="O802" s="4">
        <f t="shared" si="36"/>
        <v>100</v>
      </c>
      <c r="P802" t="str">
        <f t="shared" si="37"/>
        <v>music</v>
      </c>
      <c r="Q802" t="str">
        <f t="shared" si="38"/>
        <v>rock</v>
      </c>
    </row>
    <row r="803" spans="1:17" x14ac:dyDescent="0.3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t="s">
        <v>20</v>
      </c>
      <c r="G803">
        <v>106</v>
      </c>
      <c r="H803" t="s">
        <v>21</v>
      </c>
      <c r="I803" t="s">
        <v>22</v>
      </c>
      <c r="J803">
        <v>1577772000</v>
      </c>
      <c r="K803">
        <v>1579672800</v>
      </c>
      <c r="L803" t="b">
        <v>0</v>
      </c>
      <c r="M803" t="b">
        <v>1</v>
      </c>
      <c r="N803" t="s">
        <v>122</v>
      </c>
      <c r="O803" s="4">
        <f t="shared" si="36"/>
        <v>0.49282194128990786</v>
      </c>
      <c r="P803" t="str">
        <f t="shared" si="37"/>
        <v>photography</v>
      </c>
      <c r="Q803" t="str">
        <f t="shared" si="38"/>
        <v>photography books</v>
      </c>
    </row>
    <row r="804" spans="1:17" ht="31.2" x14ac:dyDescent="0.3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t="s">
        <v>20</v>
      </c>
      <c r="G804">
        <v>142</v>
      </c>
      <c r="H804" t="s">
        <v>21</v>
      </c>
      <c r="I804" t="s">
        <v>22</v>
      </c>
      <c r="J804">
        <v>1562216400</v>
      </c>
      <c r="K804">
        <v>1562389200</v>
      </c>
      <c r="L804" t="b">
        <v>0</v>
      </c>
      <c r="M804" t="b">
        <v>0</v>
      </c>
      <c r="N804" t="s">
        <v>122</v>
      </c>
      <c r="O804" s="4">
        <f t="shared" si="36"/>
        <v>0.50753110674525215</v>
      </c>
      <c r="P804" t="str">
        <f t="shared" si="37"/>
        <v>photography</v>
      </c>
      <c r="Q804" t="str">
        <f t="shared" si="38"/>
        <v>photography books</v>
      </c>
    </row>
    <row r="805" spans="1:17" ht="31.2" x14ac:dyDescent="0.3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t="s">
        <v>20</v>
      </c>
      <c r="G805">
        <v>233</v>
      </c>
      <c r="H805" t="s">
        <v>21</v>
      </c>
      <c r="I805" t="s">
        <v>22</v>
      </c>
      <c r="J805">
        <v>1548568800</v>
      </c>
      <c r="K805">
        <v>1551506400</v>
      </c>
      <c r="L805" t="b">
        <v>0</v>
      </c>
      <c r="M805" t="b">
        <v>0</v>
      </c>
      <c r="N805" t="s">
        <v>33</v>
      </c>
      <c r="O805" s="4">
        <f t="shared" si="36"/>
        <v>0.93457943925233644</v>
      </c>
      <c r="P805" t="str">
        <f t="shared" si="37"/>
        <v>theater</v>
      </c>
      <c r="Q805" t="str">
        <f t="shared" si="38"/>
        <v>plays</v>
      </c>
    </row>
    <row r="806" spans="1:17" x14ac:dyDescent="0.3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t="s">
        <v>20</v>
      </c>
      <c r="G806">
        <v>218</v>
      </c>
      <c r="H806" t="s">
        <v>21</v>
      </c>
      <c r="I806" t="s">
        <v>22</v>
      </c>
      <c r="J806">
        <v>1514872800</v>
      </c>
      <c r="K806">
        <v>1516600800</v>
      </c>
      <c r="L806" t="b">
        <v>0</v>
      </c>
      <c r="M806" t="b">
        <v>0</v>
      </c>
      <c r="N806" t="s">
        <v>23</v>
      </c>
      <c r="O806" s="4">
        <f t="shared" si="36"/>
        <v>0.37211965078002002</v>
      </c>
      <c r="P806" t="str">
        <f t="shared" si="37"/>
        <v>music</v>
      </c>
      <c r="Q806" t="str">
        <f t="shared" si="38"/>
        <v>rock</v>
      </c>
    </row>
    <row r="807" spans="1:17" ht="31.2" x14ac:dyDescent="0.3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t="s">
        <v>14</v>
      </c>
      <c r="G807">
        <v>67</v>
      </c>
      <c r="H807" t="s">
        <v>26</v>
      </c>
      <c r="I807" t="s">
        <v>27</v>
      </c>
      <c r="J807">
        <v>1416031200</v>
      </c>
      <c r="K807">
        <v>1420437600</v>
      </c>
      <c r="L807" t="b">
        <v>0</v>
      </c>
      <c r="M807" t="b">
        <v>0</v>
      </c>
      <c r="N807" t="s">
        <v>42</v>
      </c>
      <c r="O807" s="4">
        <f t="shared" si="36"/>
        <v>1.9667477696674778</v>
      </c>
      <c r="P807" t="str">
        <f t="shared" si="37"/>
        <v>film &amp; video</v>
      </c>
      <c r="Q807" t="str">
        <f t="shared" si="38"/>
        <v>documentary</v>
      </c>
    </row>
    <row r="808" spans="1:17" x14ac:dyDescent="0.3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t="s">
        <v>20</v>
      </c>
      <c r="G808">
        <v>76</v>
      </c>
      <c r="H808" t="s">
        <v>21</v>
      </c>
      <c r="I808" t="s">
        <v>22</v>
      </c>
      <c r="J808">
        <v>1330927200</v>
      </c>
      <c r="K808">
        <v>1332997200</v>
      </c>
      <c r="L808" t="b">
        <v>0</v>
      </c>
      <c r="M808" t="b">
        <v>1</v>
      </c>
      <c r="N808" t="s">
        <v>53</v>
      </c>
      <c r="O808" s="4">
        <f t="shared" si="36"/>
        <v>8.472524812394093E-2</v>
      </c>
      <c r="P808" t="str">
        <f t="shared" si="37"/>
        <v>film &amp; video</v>
      </c>
      <c r="Q808" t="str">
        <f t="shared" si="38"/>
        <v>drama</v>
      </c>
    </row>
    <row r="809" spans="1:17" x14ac:dyDescent="0.3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t="s">
        <v>20</v>
      </c>
      <c r="G809">
        <v>43</v>
      </c>
      <c r="H809" t="s">
        <v>21</v>
      </c>
      <c r="I809" t="s">
        <v>22</v>
      </c>
      <c r="J809">
        <v>1571115600</v>
      </c>
      <c r="K809">
        <v>1574920800</v>
      </c>
      <c r="L809" t="b">
        <v>0</v>
      </c>
      <c r="M809" t="b">
        <v>1</v>
      </c>
      <c r="N809" t="s">
        <v>33</v>
      </c>
      <c r="O809" s="4">
        <f t="shared" si="36"/>
        <v>0.37878787878787878</v>
      </c>
      <c r="P809" t="str">
        <f t="shared" si="37"/>
        <v>theater</v>
      </c>
      <c r="Q809" t="str">
        <f t="shared" si="38"/>
        <v>plays</v>
      </c>
    </row>
    <row r="810" spans="1:17" x14ac:dyDescent="0.3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t="s">
        <v>14</v>
      </c>
      <c r="G810">
        <v>19</v>
      </c>
      <c r="H810" t="s">
        <v>21</v>
      </c>
      <c r="I810" t="s">
        <v>22</v>
      </c>
      <c r="J810">
        <v>1463461200</v>
      </c>
      <c r="K810">
        <v>1464930000</v>
      </c>
      <c r="L810" t="b">
        <v>0</v>
      </c>
      <c r="M810" t="b">
        <v>0</v>
      </c>
      <c r="N810" t="s">
        <v>17</v>
      </c>
      <c r="O810" s="4">
        <f t="shared" si="36"/>
        <v>3.2849020846493997</v>
      </c>
      <c r="P810" t="str">
        <f t="shared" si="37"/>
        <v>food</v>
      </c>
      <c r="Q810" t="str">
        <f t="shared" si="38"/>
        <v>food trucks</v>
      </c>
    </row>
    <row r="811" spans="1:17" x14ac:dyDescent="0.3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t="s">
        <v>14</v>
      </c>
      <c r="G811">
        <v>2108</v>
      </c>
      <c r="H811" t="s">
        <v>98</v>
      </c>
      <c r="I811" t="s">
        <v>99</v>
      </c>
      <c r="J811">
        <v>1344920400</v>
      </c>
      <c r="K811">
        <v>1345006800</v>
      </c>
      <c r="L811" t="b">
        <v>0</v>
      </c>
      <c r="M811" t="b">
        <v>0</v>
      </c>
      <c r="N811" t="s">
        <v>42</v>
      </c>
      <c r="O811" s="4">
        <f t="shared" si="36"/>
        <v>1.5903135447727479</v>
      </c>
      <c r="P811" t="str">
        <f t="shared" si="37"/>
        <v>film &amp; video</v>
      </c>
      <c r="Q811" t="str">
        <f t="shared" si="38"/>
        <v>documentary</v>
      </c>
    </row>
    <row r="812" spans="1:17" ht="31.2" x14ac:dyDescent="0.3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t="s">
        <v>20</v>
      </c>
      <c r="G812">
        <v>221</v>
      </c>
      <c r="H812" t="s">
        <v>21</v>
      </c>
      <c r="I812" t="s">
        <v>22</v>
      </c>
      <c r="J812">
        <v>1511848800</v>
      </c>
      <c r="K812">
        <v>1512712800</v>
      </c>
      <c r="L812" t="b">
        <v>0</v>
      </c>
      <c r="M812" t="b">
        <v>1</v>
      </c>
      <c r="N812" t="s">
        <v>33</v>
      </c>
      <c r="O812" s="4">
        <f t="shared" si="36"/>
        <v>0.51779935275080902</v>
      </c>
      <c r="P812" t="str">
        <f t="shared" si="37"/>
        <v>theater</v>
      </c>
      <c r="Q812" t="str">
        <f t="shared" si="38"/>
        <v>plays</v>
      </c>
    </row>
    <row r="813" spans="1:17" x14ac:dyDescent="0.3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t="s">
        <v>14</v>
      </c>
      <c r="G813">
        <v>679</v>
      </c>
      <c r="H813" t="s">
        <v>21</v>
      </c>
      <c r="I813" t="s">
        <v>22</v>
      </c>
      <c r="J813">
        <v>1452319200</v>
      </c>
      <c r="K813">
        <v>1452492000</v>
      </c>
      <c r="L813" t="b">
        <v>0</v>
      </c>
      <c r="M813" t="b">
        <v>1</v>
      </c>
      <c r="N813" t="s">
        <v>89</v>
      </c>
      <c r="O813" s="4">
        <f t="shared" si="36"/>
        <v>1.2969713965227145</v>
      </c>
      <c r="P813" t="str">
        <f t="shared" si="37"/>
        <v>games</v>
      </c>
      <c r="Q813" t="str">
        <f t="shared" si="38"/>
        <v>video games</v>
      </c>
    </row>
    <row r="814" spans="1:17" x14ac:dyDescent="0.3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t="s">
        <v>20</v>
      </c>
      <c r="G814">
        <v>2805</v>
      </c>
      <c r="H814" t="s">
        <v>15</v>
      </c>
      <c r="I814" t="s">
        <v>16</v>
      </c>
      <c r="J814">
        <v>1523854800</v>
      </c>
      <c r="K814">
        <v>1524286800</v>
      </c>
      <c r="L814" t="b">
        <v>0</v>
      </c>
      <c r="M814" t="b">
        <v>0</v>
      </c>
      <c r="N814" t="s">
        <v>68</v>
      </c>
      <c r="O814" s="4">
        <f t="shared" si="36"/>
        <v>0.44340463458110518</v>
      </c>
      <c r="P814" t="str">
        <f t="shared" si="37"/>
        <v>publishing</v>
      </c>
      <c r="Q814" t="str">
        <f t="shared" si="38"/>
        <v>nonfiction</v>
      </c>
    </row>
    <row r="815" spans="1:17" x14ac:dyDescent="0.3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t="s">
        <v>20</v>
      </c>
      <c r="G815">
        <v>68</v>
      </c>
      <c r="H815" t="s">
        <v>21</v>
      </c>
      <c r="I815" t="s">
        <v>22</v>
      </c>
      <c r="J815">
        <v>1346043600</v>
      </c>
      <c r="K815">
        <v>1346907600</v>
      </c>
      <c r="L815" t="b">
        <v>0</v>
      </c>
      <c r="M815" t="b">
        <v>0</v>
      </c>
      <c r="N815" t="s">
        <v>89</v>
      </c>
      <c r="O815" s="4">
        <f t="shared" si="36"/>
        <v>0.41770003915937864</v>
      </c>
      <c r="P815" t="str">
        <f t="shared" si="37"/>
        <v>games</v>
      </c>
      <c r="Q815" t="str">
        <f t="shared" si="38"/>
        <v>video games</v>
      </c>
    </row>
    <row r="816" spans="1:17" x14ac:dyDescent="0.3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t="s">
        <v>14</v>
      </c>
      <c r="G816">
        <v>36</v>
      </c>
      <c r="H816" t="s">
        <v>36</v>
      </c>
      <c r="I816" t="s">
        <v>37</v>
      </c>
      <c r="J816">
        <v>1464325200</v>
      </c>
      <c r="K816">
        <v>1464498000</v>
      </c>
      <c r="L816" t="b">
        <v>0</v>
      </c>
      <c r="M816" t="b">
        <v>1</v>
      </c>
      <c r="N816" t="s">
        <v>23</v>
      </c>
      <c r="O816" s="4">
        <f t="shared" si="36"/>
        <v>1.0847457627118644</v>
      </c>
      <c r="P816" t="str">
        <f t="shared" si="37"/>
        <v>music</v>
      </c>
      <c r="Q816" t="str">
        <f t="shared" si="38"/>
        <v>rock</v>
      </c>
    </row>
    <row r="817" spans="1:17" ht="31.2" x14ac:dyDescent="0.3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t="s">
        <v>20</v>
      </c>
      <c r="G817">
        <v>183</v>
      </c>
      <c r="H817" t="s">
        <v>15</v>
      </c>
      <c r="I817" t="s">
        <v>16</v>
      </c>
      <c r="J817">
        <v>1511935200</v>
      </c>
      <c r="K817">
        <v>1514181600</v>
      </c>
      <c r="L817" t="b">
        <v>0</v>
      </c>
      <c r="M817" t="b">
        <v>0</v>
      </c>
      <c r="N817" t="s">
        <v>23</v>
      </c>
      <c r="O817" s="4">
        <f t="shared" si="36"/>
        <v>0.76785257230611725</v>
      </c>
      <c r="P817" t="str">
        <f t="shared" si="37"/>
        <v>music</v>
      </c>
      <c r="Q817" t="str">
        <f t="shared" si="38"/>
        <v>rock</v>
      </c>
    </row>
    <row r="818" spans="1:17" ht="31.2" x14ac:dyDescent="0.3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t="s">
        <v>20</v>
      </c>
      <c r="G818">
        <v>133</v>
      </c>
      <c r="H818" t="s">
        <v>21</v>
      </c>
      <c r="I818" t="s">
        <v>22</v>
      </c>
      <c r="J818">
        <v>1392012000</v>
      </c>
      <c r="K818">
        <v>1392184800</v>
      </c>
      <c r="L818" t="b">
        <v>1</v>
      </c>
      <c r="M818" t="b">
        <v>1</v>
      </c>
      <c r="N818" t="s">
        <v>33</v>
      </c>
      <c r="O818" s="4">
        <f t="shared" si="36"/>
        <v>0.16254416961130741</v>
      </c>
      <c r="P818" t="str">
        <f t="shared" si="37"/>
        <v>theater</v>
      </c>
      <c r="Q818" t="str">
        <f t="shared" si="38"/>
        <v>plays</v>
      </c>
    </row>
    <row r="819" spans="1:17" x14ac:dyDescent="0.3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t="s">
        <v>20</v>
      </c>
      <c r="G819">
        <v>2489</v>
      </c>
      <c r="H819" t="s">
        <v>107</v>
      </c>
      <c r="I819" t="s">
        <v>108</v>
      </c>
      <c r="J819">
        <v>1556946000</v>
      </c>
      <c r="K819">
        <v>1559365200</v>
      </c>
      <c r="L819" t="b">
        <v>0</v>
      </c>
      <c r="M819" t="b">
        <v>1</v>
      </c>
      <c r="N819" t="s">
        <v>68</v>
      </c>
      <c r="O819" s="4">
        <f t="shared" si="36"/>
        <v>0.27115311429658762</v>
      </c>
      <c r="P819" t="str">
        <f t="shared" si="37"/>
        <v>publishing</v>
      </c>
      <c r="Q819" t="str">
        <f t="shared" si="38"/>
        <v>nonfiction</v>
      </c>
    </row>
    <row r="820" spans="1:17" x14ac:dyDescent="0.3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t="s">
        <v>20</v>
      </c>
      <c r="G820">
        <v>69</v>
      </c>
      <c r="H820" t="s">
        <v>21</v>
      </c>
      <c r="I820" t="s">
        <v>22</v>
      </c>
      <c r="J820">
        <v>1548050400</v>
      </c>
      <c r="K820">
        <v>1549173600</v>
      </c>
      <c r="L820" t="b">
        <v>0</v>
      </c>
      <c r="M820" t="b">
        <v>1</v>
      </c>
      <c r="N820" t="s">
        <v>33</v>
      </c>
      <c r="O820" s="4">
        <f t="shared" si="36"/>
        <v>9.1336116910229651E-2</v>
      </c>
      <c r="P820" t="str">
        <f t="shared" si="37"/>
        <v>theater</v>
      </c>
      <c r="Q820" t="str">
        <f t="shared" si="38"/>
        <v>plays</v>
      </c>
    </row>
    <row r="821" spans="1:17" ht="31.2" x14ac:dyDescent="0.3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t="s">
        <v>14</v>
      </c>
      <c r="G821">
        <v>47</v>
      </c>
      <c r="H821" t="s">
        <v>21</v>
      </c>
      <c r="I821" t="s">
        <v>22</v>
      </c>
      <c r="J821">
        <v>1353736800</v>
      </c>
      <c r="K821">
        <v>1355032800</v>
      </c>
      <c r="L821" t="b">
        <v>1</v>
      </c>
      <c r="M821" t="b">
        <v>0</v>
      </c>
      <c r="N821" t="s">
        <v>89</v>
      </c>
      <c r="O821" s="4">
        <f t="shared" si="36"/>
        <v>1.9738301175426924</v>
      </c>
      <c r="P821" t="str">
        <f t="shared" si="37"/>
        <v>games</v>
      </c>
      <c r="Q821" t="str">
        <f t="shared" si="38"/>
        <v>video games</v>
      </c>
    </row>
    <row r="822" spans="1:17" x14ac:dyDescent="0.3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t="s">
        <v>20</v>
      </c>
      <c r="G822">
        <v>279</v>
      </c>
      <c r="H822" t="s">
        <v>40</v>
      </c>
      <c r="I822" t="s">
        <v>41</v>
      </c>
      <c r="J822">
        <v>1532840400</v>
      </c>
      <c r="K822">
        <v>1533963600</v>
      </c>
      <c r="L822" t="b">
        <v>0</v>
      </c>
      <c r="M822" t="b">
        <v>1</v>
      </c>
      <c r="N822" t="s">
        <v>23</v>
      </c>
      <c r="O822" s="4">
        <f t="shared" si="36"/>
        <v>0.12490632025980515</v>
      </c>
      <c r="P822" t="str">
        <f t="shared" si="37"/>
        <v>music</v>
      </c>
      <c r="Q822" t="str">
        <f t="shared" si="38"/>
        <v>rock</v>
      </c>
    </row>
    <row r="823" spans="1:17" x14ac:dyDescent="0.3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t="s">
        <v>20</v>
      </c>
      <c r="G823">
        <v>210</v>
      </c>
      <c r="H823" t="s">
        <v>21</v>
      </c>
      <c r="I823" t="s">
        <v>22</v>
      </c>
      <c r="J823">
        <v>1488261600</v>
      </c>
      <c r="K823">
        <v>1489381200</v>
      </c>
      <c r="L823" t="b">
        <v>0</v>
      </c>
      <c r="M823" t="b">
        <v>0</v>
      </c>
      <c r="N823" t="s">
        <v>42</v>
      </c>
      <c r="O823" s="4">
        <f t="shared" si="36"/>
        <v>0.34330554193231977</v>
      </c>
      <c r="P823" t="str">
        <f t="shared" si="37"/>
        <v>film &amp; video</v>
      </c>
      <c r="Q823" t="str">
        <f t="shared" si="38"/>
        <v>documentary</v>
      </c>
    </row>
    <row r="824" spans="1:17" x14ac:dyDescent="0.3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t="s">
        <v>20</v>
      </c>
      <c r="G824">
        <v>2100</v>
      </c>
      <c r="H824" t="s">
        <v>21</v>
      </c>
      <c r="I824" t="s">
        <v>22</v>
      </c>
      <c r="J824">
        <v>1393567200</v>
      </c>
      <c r="K824">
        <v>1395032400</v>
      </c>
      <c r="L824" t="b">
        <v>0</v>
      </c>
      <c r="M824" t="b">
        <v>0</v>
      </c>
      <c r="N824" t="s">
        <v>23</v>
      </c>
      <c r="O824" s="4">
        <f t="shared" si="36"/>
        <v>0.2857414991903991</v>
      </c>
      <c r="P824" t="str">
        <f t="shared" si="37"/>
        <v>music</v>
      </c>
      <c r="Q824" t="str">
        <f t="shared" si="38"/>
        <v>rock</v>
      </c>
    </row>
    <row r="825" spans="1:17" ht="31.2" x14ac:dyDescent="0.3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t="s">
        <v>20</v>
      </c>
      <c r="G825">
        <v>252</v>
      </c>
      <c r="H825" t="s">
        <v>21</v>
      </c>
      <c r="I825" t="s">
        <v>22</v>
      </c>
      <c r="J825">
        <v>1410325200</v>
      </c>
      <c r="K825">
        <v>1412485200</v>
      </c>
      <c r="L825" t="b">
        <v>1</v>
      </c>
      <c r="M825" t="b">
        <v>1</v>
      </c>
      <c r="N825" t="s">
        <v>23</v>
      </c>
      <c r="O825" s="4">
        <f t="shared" si="36"/>
        <v>0.28005464480874315</v>
      </c>
      <c r="P825" t="str">
        <f t="shared" si="37"/>
        <v>music</v>
      </c>
      <c r="Q825" t="str">
        <f t="shared" si="38"/>
        <v>rock</v>
      </c>
    </row>
    <row r="826" spans="1:17" x14ac:dyDescent="0.3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t="s">
        <v>20</v>
      </c>
      <c r="G826">
        <v>1280</v>
      </c>
      <c r="H826" t="s">
        <v>21</v>
      </c>
      <c r="I826" t="s">
        <v>22</v>
      </c>
      <c r="J826">
        <v>1276923600</v>
      </c>
      <c r="K826">
        <v>1279688400</v>
      </c>
      <c r="L826" t="b">
        <v>0</v>
      </c>
      <c r="M826" t="b">
        <v>1</v>
      </c>
      <c r="N826" t="s">
        <v>68</v>
      </c>
      <c r="O826" s="4">
        <f t="shared" si="36"/>
        <v>0.79058000669667772</v>
      </c>
      <c r="P826" t="str">
        <f t="shared" si="37"/>
        <v>publishing</v>
      </c>
      <c r="Q826" t="str">
        <f t="shared" si="38"/>
        <v>nonfiction</v>
      </c>
    </row>
    <row r="827" spans="1:17" x14ac:dyDescent="0.3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t="s">
        <v>20</v>
      </c>
      <c r="G827">
        <v>157</v>
      </c>
      <c r="H827" t="s">
        <v>40</v>
      </c>
      <c r="I827" t="s">
        <v>41</v>
      </c>
      <c r="J827">
        <v>1500958800</v>
      </c>
      <c r="K827">
        <v>1501995600</v>
      </c>
      <c r="L827" t="b">
        <v>0</v>
      </c>
      <c r="M827" t="b">
        <v>0</v>
      </c>
      <c r="N827" t="s">
        <v>100</v>
      </c>
      <c r="O827" s="4">
        <f t="shared" si="36"/>
        <v>0.25806451612903225</v>
      </c>
      <c r="P827" t="str">
        <f t="shared" si="37"/>
        <v>film &amp; video</v>
      </c>
      <c r="Q827" t="str">
        <f t="shared" si="38"/>
        <v>shorts</v>
      </c>
    </row>
    <row r="828" spans="1:17" ht="31.2" x14ac:dyDescent="0.3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t="s">
        <v>20</v>
      </c>
      <c r="G828">
        <v>194</v>
      </c>
      <c r="H828" t="s">
        <v>21</v>
      </c>
      <c r="I828" t="s">
        <v>22</v>
      </c>
      <c r="J828">
        <v>1292220000</v>
      </c>
      <c r="K828">
        <v>1294639200</v>
      </c>
      <c r="L828" t="b">
        <v>0</v>
      </c>
      <c r="M828" t="b">
        <v>1</v>
      </c>
      <c r="N828" t="s">
        <v>33</v>
      </c>
      <c r="O828" s="4">
        <f t="shared" si="36"/>
        <v>0.21880128155036338</v>
      </c>
      <c r="P828" t="str">
        <f t="shared" si="37"/>
        <v>theater</v>
      </c>
      <c r="Q828" t="str">
        <f t="shared" si="38"/>
        <v>plays</v>
      </c>
    </row>
    <row r="829" spans="1:17" ht="31.2" x14ac:dyDescent="0.3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t="s">
        <v>20</v>
      </c>
      <c r="G829">
        <v>82</v>
      </c>
      <c r="H829" t="s">
        <v>26</v>
      </c>
      <c r="I829" t="s">
        <v>27</v>
      </c>
      <c r="J829">
        <v>1304398800</v>
      </c>
      <c r="K829">
        <v>1305435600</v>
      </c>
      <c r="L829" t="b">
        <v>0</v>
      </c>
      <c r="M829" t="b">
        <v>1</v>
      </c>
      <c r="N829" t="s">
        <v>53</v>
      </c>
      <c r="O829" s="4">
        <f t="shared" si="36"/>
        <v>0.37495924356048255</v>
      </c>
      <c r="P829" t="str">
        <f t="shared" si="37"/>
        <v>film &amp; video</v>
      </c>
      <c r="Q829" t="str">
        <f t="shared" si="38"/>
        <v>drama</v>
      </c>
    </row>
    <row r="830" spans="1:17" ht="31.2" x14ac:dyDescent="0.3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t="s">
        <v>14</v>
      </c>
      <c r="G830">
        <v>70</v>
      </c>
      <c r="H830" t="s">
        <v>21</v>
      </c>
      <c r="I830" t="s">
        <v>22</v>
      </c>
      <c r="J830">
        <v>1535432400</v>
      </c>
      <c r="K830">
        <v>1537592400</v>
      </c>
      <c r="L830" t="b">
        <v>0</v>
      </c>
      <c r="M830" t="b">
        <v>0</v>
      </c>
      <c r="N830" t="s">
        <v>33</v>
      </c>
      <c r="O830" s="4">
        <f t="shared" si="36"/>
        <v>1.4492753623188406</v>
      </c>
      <c r="P830" t="str">
        <f t="shared" si="37"/>
        <v>theater</v>
      </c>
      <c r="Q830" t="str">
        <f t="shared" si="38"/>
        <v>plays</v>
      </c>
    </row>
    <row r="831" spans="1:17" x14ac:dyDescent="0.3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t="s">
        <v>14</v>
      </c>
      <c r="G831">
        <v>154</v>
      </c>
      <c r="H831" t="s">
        <v>21</v>
      </c>
      <c r="I831" t="s">
        <v>22</v>
      </c>
      <c r="J831">
        <v>1433826000</v>
      </c>
      <c r="K831">
        <v>1435122000</v>
      </c>
      <c r="L831" t="b">
        <v>0</v>
      </c>
      <c r="M831" t="b">
        <v>0</v>
      </c>
      <c r="N831" t="s">
        <v>33</v>
      </c>
      <c r="O831" s="4">
        <f t="shared" si="36"/>
        <v>1.9476567255021302</v>
      </c>
      <c r="P831" t="str">
        <f t="shared" si="37"/>
        <v>theater</v>
      </c>
      <c r="Q831" t="str">
        <f t="shared" si="38"/>
        <v>plays</v>
      </c>
    </row>
    <row r="832" spans="1:17" ht="31.2" x14ac:dyDescent="0.3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t="s">
        <v>14</v>
      </c>
      <c r="G832">
        <v>22</v>
      </c>
      <c r="H832" t="s">
        <v>21</v>
      </c>
      <c r="I832" t="s">
        <v>22</v>
      </c>
      <c r="J832">
        <v>1514959200</v>
      </c>
      <c r="K832">
        <v>1520056800</v>
      </c>
      <c r="L832" t="b">
        <v>0</v>
      </c>
      <c r="M832" t="b">
        <v>0</v>
      </c>
      <c r="N832" t="s">
        <v>33</v>
      </c>
      <c r="O832" s="4">
        <f t="shared" si="36"/>
        <v>85.393258426966298</v>
      </c>
      <c r="P832" t="str">
        <f t="shared" si="37"/>
        <v>theater</v>
      </c>
      <c r="Q832" t="str">
        <f t="shared" si="38"/>
        <v>plays</v>
      </c>
    </row>
    <row r="833" spans="1:17" ht="31.2" x14ac:dyDescent="0.3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t="s">
        <v>20</v>
      </c>
      <c r="G833">
        <v>4233</v>
      </c>
      <c r="H833" t="s">
        <v>21</v>
      </c>
      <c r="I833" t="s">
        <v>22</v>
      </c>
      <c r="J833">
        <v>1332738000</v>
      </c>
      <c r="K833">
        <v>1335675600</v>
      </c>
      <c r="L833" t="b">
        <v>0</v>
      </c>
      <c r="M833" t="b">
        <v>0</v>
      </c>
      <c r="N833" t="s">
        <v>122</v>
      </c>
      <c r="O833" s="4">
        <f t="shared" si="36"/>
        <v>0.91762193220371013</v>
      </c>
      <c r="P833" t="str">
        <f t="shared" si="37"/>
        <v>photography</v>
      </c>
      <c r="Q833" t="str">
        <f t="shared" si="38"/>
        <v>photography books</v>
      </c>
    </row>
    <row r="834" spans="1:17" x14ac:dyDescent="0.3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t="s">
        <v>20</v>
      </c>
      <c r="G834">
        <v>1297</v>
      </c>
      <c r="H834" t="s">
        <v>36</v>
      </c>
      <c r="I834" t="s">
        <v>37</v>
      </c>
      <c r="J834">
        <v>1445490000</v>
      </c>
      <c r="K834">
        <v>1448431200</v>
      </c>
      <c r="L834" t="b">
        <v>1</v>
      </c>
      <c r="M834" t="b">
        <v>0</v>
      </c>
      <c r="N834" t="s">
        <v>206</v>
      </c>
      <c r="O834" s="4">
        <f t="shared" si="36"/>
        <v>0.3172831164252769</v>
      </c>
      <c r="P834" t="str">
        <f t="shared" si="37"/>
        <v>publishing</v>
      </c>
      <c r="Q834" t="str">
        <f t="shared" si="38"/>
        <v>translations</v>
      </c>
    </row>
    <row r="835" spans="1:17" x14ac:dyDescent="0.3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t="s">
        <v>20</v>
      </c>
      <c r="G835">
        <v>165</v>
      </c>
      <c r="H835" t="s">
        <v>36</v>
      </c>
      <c r="I835" t="s">
        <v>37</v>
      </c>
      <c r="J835">
        <v>1297663200</v>
      </c>
      <c r="K835">
        <v>1298613600</v>
      </c>
      <c r="L835" t="b">
        <v>0</v>
      </c>
      <c r="M835" t="b">
        <v>0</v>
      </c>
      <c r="N835" t="s">
        <v>206</v>
      </c>
      <c r="O835" s="4">
        <f t="shared" ref="O835:O898" si="39">D835/E835</f>
        <v>0.63415089060897134</v>
      </c>
      <c r="P835" t="str">
        <f t="shared" ref="P835:P898" si="40">LEFT(N835,SEARCH("/",N835) -1)</f>
        <v>publishing</v>
      </c>
      <c r="Q835" t="str">
        <f t="shared" ref="Q835:Q898" si="41">RIGHT(N835,LEN(N835)-SEARCH("/",N835))</f>
        <v>translations</v>
      </c>
    </row>
    <row r="836" spans="1:17" x14ac:dyDescent="0.3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t="s">
        <v>20</v>
      </c>
      <c r="G836">
        <v>119</v>
      </c>
      <c r="H836" t="s">
        <v>21</v>
      </c>
      <c r="I836" t="s">
        <v>22</v>
      </c>
      <c r="J836">
        <v>1371963600</v>
      </c>
      <c r="K836">
        <v>1372482000</v>
      </c>
      <c r="L836" t="b">
        <v>0</v>
      </c>
      <c r="M836" t="b">
        <v>0</v>
      </c>
      <c r="N836" t="s">
        <v>33</v>
      </c>
      <c r="O836" s="4">
        <f t="shared" si="39"/>
        <v>0.65016031350195935</v>
      </c>
      <c r="P836" t="str">
        <f t="shared" si="40"/>
        <v>theater</v>
      </c>
      <c r="Q836" t="str">
        <f t="shared" si="41"/>
        <v>plays</v>
      </c>
    </row>
    <row r="837" spans="1:17" x14ac:dyDescent="0.3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t="s">
        <v>14</v>
      </c>
      <c r="G837">
        <v>1758</v>
      </c>
      <c r="H837" t="s">
        <v>21</v>
      </c>
      <c r="I837" t="s">
        <v>22</v>
      </c>
      <c r="J837">
        <v>1425103200</v>
      </c>
      <c r="K837">
        <v>1425621600</v>
      </c>
      <c r="L837" t="b">
        <v>0</v>
      </c>
      <c r="M837" t="b">
        <v>0</v>
      </c>
      <c r="N837" t="s">
        <v>28</v>
      </c>
      <c r="O837" s="4">
        <f t="shared" si="39"/>
        <v>1.1143429642557041</v>
      </c>
      <c r="P837" t="str">
        <f t="shared" si="40"/>
        <v>technology</v>
      </c>
      <c r="Q837" t="str">
        <f t="shared" si="41"/>
        <v>web</v>
      </c>
    </row>
    <row r="838" spans="1:17" x14ac:dyDescent="0.3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t="s">
        <v>14</v>
      </c>
      <c r="G838">
        <v>94</v>
      </c>
      <c r="H838" t="s">
        <v>21</v>
      </c>
      <c r="I838" t="s">
        <v>22</v>
      </c>
      <c r="J838">
        <v>1265349600</v>
      </c>
      <c r="K838">
        <v>1266300000</v>
      </c>
      <c r="L838" t="b">
        <v>0</v>
      </c>
      <c r="M838" t="b">
        <v>0</v>
      </c>
      <c r="N838" t="s">
        <v>60</v>
      </c>
      <c r="O838" s="4">
        <f t="shared" si="39"/>
        <v>1.3309234308248439</v>
      </c>
      <c r="P838" t="str">
        <f t="shared" si="40"/>
        <v>music</v>
      </c>
      <c r="Q838" t="str">
        <f t="shared" si="41"/>
        <v>indie rock</v>
      </c>
    </row>
    <row r="839" spans="1:17" x14ac:dyDescent="0.3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t="s">
        <v>20</v>
      </c>
      <c r="G839">
        <v>1797</v>
      </c>
      <c r="H839" t="s">
        <v>21</v>
      </c>
      <c r="I839" t="s">
        <v>22</v>
      </c>
      <c r="J839">
        <v>1301202000</v>
      </c>
      <c r="K839">
        <v>1305867600</v>
      </c>
      <c r="L839" t="b">
        <v>0</v>
      </c>
      <c r="M839" t="b">
        <v>0</v>
      </c>
      <c r="N839" t="s">
        <v>159</v>
      </c>
      <c r="O839" s="4">
        <f t="shared" si="39"/>
        <v>0.11724960254372019</v>
      </c>
      <c r="P839" t="str">
        <f t="shared" si="40"/>
        <v>music</v>
      </c>
      <c r="Q839" t="str">
        <f t="shared" si="41"/>
        <v>jazz</v>
      </c>
    </row>
    <row r="840" spans="1:17" x14ac:dyDescent="0.3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t="s">
        <v>20</v>
      </c>
      <c r="G840">
        <v>261</v>
      </c>
      <c r="H840" t="s">
        <v>21</v>
      </c>
      <c r="I840" t="s">
        <v>22</v>
      </c>
      <c r="J840">
        <v>1538024400</v>
      </c>
      <c r="K840">
        <v>1538802000</v>
      </c>
      <c r="L840" t="b">
        <v>0</v>
      </c>
      <c r="M840" t="b">
        <v>0</v>
      </c>
      <c r="N840" t="s">
        <v>33</v>
      </c>
      <c r="O840" s="4">
        <f t="shared" si="39"/>
        <v>0.71991001124859388</v>
      </c>
      <c r="P840" t="str">
        <f t="shared" si="40"/>
        <v>theater</v>
      </c>
      <c r="Q840" t="str">
        <f t="shared" si="41"/>
        <v>plays</v>
      </c>
    </row>
    <row r="841" spans="1:17" x14ac:dyDescent="0.3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t="s">
        <v>20</v>
      </c>
      <c r="G841">
        <v>157</v>
      </c>
      <c r="H841" t="s">
        <v>21</v>
      </c>
      <c r="I841" t="s">
        <v>22</v>
      </c>
      <c r="J841">
        <v>1395032400</v>
      </c>
      <c r="K841">
        <v>1398920400</v>
      </c>
      <c r="L841" t="b">
        <v>0</v>
      </c>
      <c r="M841" t="b">
        <v>1</v>
      </c>
      <c r="N841" t="s">
        <v>42</v>
      </c>
      <c r="O841" s="4">
        <f t="shared" si="39"/>
        <v>0.52581261950286806</v>
      </c>
      <c r="P841" t="str">
        <f t="shared" si="40"/>
        <v>film &amp; video</v>
      </c>
      <c r="Q841" t="str">
        <f t="shared" si="41"/>
        <v>documentary</v>
      </c>
    </row>
    <row r="842" spans="1:17" x14ac:dyDescent="0.3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t="s">
        <v>20</v>
      </c>
      <c r="G842">
        <v>3533</v>
      </c>
      <c r="H842" t="s">
        <v>21</v>
      </c>
      <c r="I842" t="s">
        <v>22</v>
      </c>
      <c r="J842">
        <v>1405486800</v>
      </c>
      <c r="K842">
        <v>1405659600</v>
      </c>
      <c r="L842" t="b">
        <v>0</v>
      </c>
      <c r="M842" t="b">
        <v>1</v>
      </c>
      <c r="N842" t="s">
        <v>33</v>
      </c>
      <c r="O842" s="4">
        <f t="shared" si="39"/>
        <v>0.99757254488218694</v>
      </c>
      <c r="P842" t="str">
        <f t="shared" si="40"/>
        <v>theater</v>
      </c>
      <c r="Q842" t="str">
        <f t="shared" si="41"/>
        <v>plays</v>
      </c>
    </row>
    <row r="843" spans="1:17" x14ac:dyDescent="0.3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t="s">
        <v>20</v>
      </c>
      <c r="G843">
        <v>155</v>
      </c>
      <c r="H843" t="s">
        <v>21</v>
      </c>
      <c r="I843" t="s">
        <v>22</v>
      </c>
      <c r="J843">
        <v>1455861600</v>
      </c>
      <c r="K843">
        <v>1457244000</v>
      </c>
      <c r="L843" t="b">
        <v>0</v>
      </c>
      <c r="M843" t="b">
        <v>0</v>
      </c>
      <c r="N843" t="s">
        <v>28</v>
      </c>
      <c r="O843" s="4">
        <f t="shared" si="39"/>
        <v>0.70048495112000619</v>
      </c>
      <c r="P843" t="str">
        <f t="shared" si="40"/>
        <v>technology</v>
      </c>
      <c r="Q843" t="str">
        <f t="shared" si="41"/>
        <v>web</v>
      </c>
    </row>
    <row r="844" spans="1:17" ht="31.2" x14ac:dyDescent="0.3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t="s">
        <v>20</v>
      </c>
      <c r="G844">
        <v>132</v>
      </c>
      <c r="H844" t="s">
        <v>107</v>
      </c>
      <c r="I844" t="s">
        <v>108</v>
      </c>
      <c r="J844">
        <v>1529038800</v>
      </c>
      <c r="K844">
        <v>1529298000</v>
      </c>
      <c r="L844" t="b">
        <v>0</v>
      </c>
      <c r="M844" t="b">
        <v>0</v>
      </c>
      <c r="N844" t="s">
        <v>65</v>
      </c>
      <c r="O844" s="4">
        <f t="shared" si="39"/>
        <v>0.17757783828578194</v>
      </c>
      <c r="P844" t="str">
        <f t="shared" si="40"/>
        <v>technology</v>
      </c>
      <c r="Q844" t="str">
        <f t="shared" si="41"/>
        <v>wearables</v>
      </c>
    </row>
    <row r="845" spans="1:17" ht="31.2" x14ac:dyDescent="0.3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t="s">
        <v>14</v>
      </c>
      <c r="G845">
        <v>33</v>
      </c>
      <c r="H845" t="s">
        <v>21</v>
      </c>
      <c r="I845" t="s">
        <v>22</v>
      </c>
      <c r="J845">
        <v>1535259600</v>
      </c>
      <c r="K845">
        <v>1535778000</v>
      </c>
      <c r="L845" t="b">
        <v>0</v>
      </c>
      <c r="M845" t="b">
        <v>0</v>
      </c>
      <c r="N845" t="s">
        <v>122</v>
      </c>
      <c r="O845" s="4">
        <f t="shared" si="39"/>
        <v>3.2556418793932669</v>
      </c>
      <c r="P845" t="str">
        <f t="shared" si="40"/>
        <v>photography</v>
      </c>
      <c r="Q845" t="str">
        <f t="shared" si="41"/>
        <v>photography books</v>
      </c>
    </row>
    <row r="846" spans="1:17" x14ac:dyDescent="0.3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t="s">
        <v>74</v>
      </c>
      <c r="G846">
        <v>94</v>
      </c>
      <c r="H846" t="s">
        <v>21</v>
      </c>
      <c r="I846" t="s">
        <v>22</v>
      </c>
      <c r="J846">
        <v>1327212000</v>
      </c>
      <c r="K846">
        <v>1327471200</v>
      </c>
      <c r="L846" t="b">
        <v>0</v>
      </c>
      <c r="M846" t="b">
        <v>0</v>
      </c>
      <c r="N846" t="s">
        <v>42</v>
      </c>
      <c r="O846" s="4">
        <f t="shared" si="39"/>
        <v>1.0060592203041043</v>
      </c>
      <c r="P846" t="str">
        <f t="shared" si="40"/>
        <v>film &amp; video</v>
      </c>
      <c r="Q846" t="str">
        <f t="shared" si="41"/>
        <v>documentary</v>
      </c>
    </row>
    <row r="847" spans="1:17" x14ac:dyDescent="0.3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t="s">
        <v>20</v>
      </c>
      <c r="G847">
        <v>1354</v>
      </c>
      <c r="H847" t="s">
        <v>40</v>
      </c>
      <c r="I847" t="s">
        <v>41</v>
      </c>
      <c r="J847">
        <v>1526360400</v>
      </c>
      <c r="K847">
        <v>1529557200</v>
      </c>
      <c r="L847" t="b">
        <v>0</v>
      </c>
      <c r="M847" t="b">
        <v>0</v>
      </c>
      <c r="N847" t="s">
        <v>28</v>
      </c>
      <c r="O847" s="4">
        <f t="shared" si="39"/>
        <v>0.50620261139716261</v>
      </c>
      <c r="P847" t="str">
        <f t="shared" si="40"/>
        <v>technology</v>
      </c>
      <c r="Q847" t="str">
        <f t="shared" si="41"/>
        <v>web</v>
      </c>
    </row>
    <row r="848" spans="1:17" x14ac:dyDescent="0.3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t="s">
        <v>20</v>
      </c>
      <c r="G848">
        <v>48</v>
      </c>
      <c r="H848" t="s">
        <v>21</v>
      </c>
      <c r="I848" t="s">
        <v>22</v>
      </c>
      <c r="J848">
        <v>1532149200</v>
      </c>
      <c r="K848">
        <v>1535259600</v>
      </c>
      <c r="L848" t="b">
        <v>1</v>
      </c>
      <c r="M848" t="b">
        <v>1</v>
      </c>
      <c r="N848" t="s">
        <v>28</v>
      </c>
      <c r="O848" s="4">
        <f t="shared" si="39"/>
        <v>0.19665683382497542</v>
      </c>
      <c r="P848" t="str">
        <f t="shared" si="40"/>
        <v>technology</v>
      </c>
      <c r="Q848" t="str">
        <f t="shared" si="41"/>
        <v>web</v>
      </c>
    </row>
    <row r="849" spans="1:17" x14ac:dyDescent="0.3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t="s">
        <v>20</v>
      </c>
      <c r="G849">
        <v>110</v>
      </c>
      <c r="H849" t="s">
        <v>21</v>
      </c>
      <c r="I849" t="s">
        <v>22</v>
      </c>
      <c r="J849">
        <v>1515304800</v>
      </c>
      <c r="K849">
        <v>1515564000</v>
      </c>
      <c r="L849" t="b">
        <v>0</v>
      </c>
      <c r="M849" t="b">
        <v>0</v>
      </c>
      <c r="N849" t="s">
        <v>17</v>
      </c>
      <c r="O849" s="4">
        <f t="shared" si="39"/>
        <v>0.42061929479148025</v>
      </c>
      <c r="P849" t="str">
        <f t="shared" si="40"/>
        <v>food</v>
      </c>
      <c r="Q849" t="str">
        <f t="shared" si="41"/>
        <v>food trucks</v>
      </c>
    </row>
    <row r="850" spans="1:17" x14ac:dyDescent="0.3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t="s">
        <v>20</v>
      </c>
      <c r="G850">
        <v>172</v>
      </c>
      <c r="H850" t="s">
        <v>21</v>
      </c>
      <c r="I850" t="s">
        <v>22</v>
      </c>
      <c r="J850">
        <v>1276318800</v>
      </c>
      <c r="K850">
        <v>1277096400</v>
      </c>
      <c r="L850" t="b">
        <v>0</v>
      </c>
      <c r="M850" t="b">
        <v>0</v>
      </c>
      <c r="N850" t="s">
        <v>53</v>
      </c>
      <c r="O850" s="4">
        <f t="shared" si="39"/>
        <v>0.2954482503923922</v>
      </c>
      <c r="P850" t="str">
        <f t="shared" si="40"/>
        <v>film &amp; video</v>
      </c>
      <c r="Q850" t="str">
        <f t="shared" si="41"/>
        <v>drama</v>
      </c>
    </row>
    <row r="851" spans="1:17" ht="31.2" x14ac:dyDescent="0.3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t="s">
        <v>20</v>
      </c>
      <c r="G851">
        <v>307</v>
      </c>
      <c r="H851" t="s">
        <v>21</v>
      </c>
      <c r="I851" t="s">
        <v>22</v>
      </c>
      <c r="J851">
        <v>1328767200</v>
      </c>
      <c r="K851">
        <v>1329026400</v>
      </c>
      <c r="L851" t="b">
        <v>0</v>
      </c>
      <c r="M851" t="b">
        <v>1</v>
      </c>
      <c r="N851" t="s">
        <v>60</v>
      </c>
      <c r="O851" s="4">
        <f t="shared" si="39"/>
        <v>0.7513737804194236</v>
      </c>
      <c r="P851" t="str">
        <f t="shared" si="40"/>
        <v>music</v>
      </c>
      <c r="Q851" t="str">
        <f t="shared" si="41"/>
        <v>indie rock</v>
      </c>
    </row>
    <row r="852" spans="1:17" ht="31.2" x14ac:dyDescent="0.3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t="s">
        <v>14</v>
      </c>
      <c r="G852">
        <v>1</v>
      </c>
      <c r="H852" t="s">
        <v>21</v>
      </c>
      <c r="I852" t="s">
        <v>22</v>
      </c>
      <c r="J852">
        <v>1321682400</v>
      </c>
      <c r="K852">
        <v>1322978400</v>
      </c>
      <c r="L852" t="b">
        <v>1</v>
      </c>
      <c r="M852" t="b">
        <v>0</v>
      </c>
      <c r="N852" t="s">
        <v>23</v>
      </c>
      <c r="O852" s="4">
        <f t="shared" si="39"/>
        <v>100</v>
      </c>
      <c r="P852" t="str">
        <f t="shared" si="40"/>
        <v>music</v>
      </c>
      <c r="Q852" t="str">
        <f t="shared" si="41"/>
        <v>rock</v>
      </c>
    </row>
    <row r="853" spans="1:17" ht="31.2" x14ac:dyDescent="0.3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t="s">
        <v>20</v>
      </c>
      <c r="G853">
        <v>160</v>
      </c>
      <c r="H853" t="s">
        <v>21</v>
      </c>
      <c r="I853" t="s">
        <v>22</v>
      </c>
      <c r="J853">
        <v>1335934800</v>
      </c>
      <c r="K853">
        <v>1338786000</v>
      </c>
      <c r="L853" t="b">
        <v>0</v>
      </c>
      <c r="M853" t="b">
        <v>0</v>
      </c>
      <c r="N853" t="s">
        <v>50</v>
      </c>
      <c r="O853" s="4">
        <f t="shared" si="39"/>
        <v>0.48123195380173245</v>
      </c>
      <c r="P853" t="str">
        <f t="shared" si="40"/>
        <v>music</v>
      </c>
      <c r="Q853" t="str">
        <f t="shared" si="41"/>
        <v>electric music</v>
      </c>
    </row>
    <row r="854" spans="1:17" ht="31.2" x14ac:dyDescent="0.3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t="s">
        <v>14</v>
      </c>
      <c r="G854">
        <v>31</v>
      </c>
      <c r="H854" t="s">
        <v>21</v>
      </c>
      <c r="I854" t="s">
        <v>22</v>
      </c>
      <c r="J854">
        <v>1310792400</v>
      </c>
      <c r="K854">
        <v>1311656400</v>
      </c>
      <c r="L854" t="b">
        <v>0</v>
      </c>
      <c r="M854" t="b">
        <v>1</v>
      </c>
      <c r="N854" t="s">
        <v>89</v>
      </c>
      <c r="O854" s="4">
        <f t="shared" si="39"/>
        <v>1.9560878243512974</v>
      </c>
      <c r="P854" t="str">
        <f t="shared" si="40"/>
        <v>games</v>
      </c>
      <c r="Q854" t="str">
        <f t="shared" si="41"/>
        <v>video games</v>
      </c>
    </row>
    <row r="855" spans="1:17" x14ac:dyDescent="0.3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t="s">
        <v>20</v>
      </c>
      <c r="G855">
        <v>1467</v>
      </c>
      <c r="H855" t="s">
        <v>15</v>
      </c>
      <c r="I855" t="s">
        <v>16</v>
      </c>
      <c r="J855">
        <v>1308546000</v>
      </c>
      <c r="K855">
        <v>1308978000</v>
      </c>
      <c r="L855" t="b">
        <v>0</v>
      </c>
      <c r="M855" t="b">
        <v>1</v>
      </c>
      <c r="N855" t="s">
        <v>60</v>
      </c>
      <c r="O855" s="4">
        <f t="shared" si="39"/>
        <v>0.15336047783896253</v>
      </c>
      <c r="P855" t="str">
        <f t="shared" si="40"/>
        <v>music</v>
      </c>
      <c r="Q855" t="str">
        <f t="shared" si="41"/>
        <v>indie rock</v>
      </c>
    </row>
    <row r="856" spans="1:17" ht="31.2" x14ac:dyDescent="0.3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t="s">
        <v>20</v>
      </c>
      <c r="G856">
        <v>2662</v>
      </c>
      <c r="H856" t="s">
        <v>15</v>
      </c>
      <c r="I856" t="s">
        <v>16</v>
      </c>
      <c r="J856">
        <v>1574056800</v>
      </c>
      <c r="K856">
        <v>1576389600</v>
      </c>
      <c r="L856" t="b">
        <v>0</v>
      </c>
      <c r="M856" t="b">
        <v>0</v>
      </c>
      <c r="N856" t="s">
        <v>119</v>
      </c>
      <c r="O856" s="4">
        <f t="shared" si="39"/>
        <v>0.88004158325141912</v>
      </c>
      <c r="P856" t="str">
        <f t="shared" si="40"/>
        <v>publishing</v>
      </c>
      <c r="Q856" t="str">
        <f t="shared" si="41"/>
        <v>fiction</v>
      </c>
    </row>
    <row r="857" spans="1:17" x14ac:dyDescent="0.3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t="s">
        <v>20</v>
      </c>
      <c r="G857">
        <v>452</v>
      </c>
      <c r="H857" t="s">
        <v>26</v>
      </c>
      <c r="I857" t="s">
        <v>27</v>
      </c>
      <c r="J857">
        <v>1308373200</v>
      </c>
      <c r="K857">
        <v>1311051600</v>
      </c>
      <c r="L857" t="b">
        <v>0</v>
      </c>
      <c r="M857" t="b">
        <v>0</v>
      </c>
      <c r="N857" t="s">
        <v>33</v>
      </c>
      <c r="O857" s="4">
        <f t="shared" si="39"/>
        <v>0.97679078310235434</v>
      </c>
      <c r="P857" t="str">
        <f t="shared" si="40"/>
        <v>theater</v>
      </c>
      <c r="Q857" t="str">
        <f t="shared" si="41"/>
        <v>plays</v>
      </c>
    </row>
    <row r="858" spans="1:17" x14ac:dyDescent="0.3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t="s">
        <v>20</v>
      </c>
      <c r="G858">
        <v>158</v>
      </c>
      <c r="H858" t="s">
        <v>21</v>
      </c>
      <c r="I858" t="s">
        <v>22</v>
      </c>
      <c r="J858">
        <v>1335243600</v>
      </c>
      <c r="K858">
        <v>1336712400</v>
      </c>
      <c r="L858" t="b">
        <v>0</v>
      </c>
      <c r="M858" t="b">
        <v>0</v>
      </c>
      <c r="N858" t="s">
        <v>17</v>
      </c>
      <c r="O858" s="4">
        <f t="shared" si="39"/>
        <v>0.28043935498948352</v>
      </c>
      <c r="P858" t="str">
        <f t="shared" si="40"/>
        <v>food</v>
      </c>
      <c r="Q858" t="str">
        <f t="shared" si="41"/>
        <v>food trucks</v>
      </c>
    </row>
    <row r="859" spans="1:17" ht="31.2" x14ac:dyDescent="0.3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t="s">
        <v>20</v>
      </c>
      <c r="G859">
        <v>225</v>
      </c>
      <c r="H859" t="s">
        <v>98</v>
      </c>
      <c r="I859" t="s">
        <v>99</v>
      </c>
      <c r="J859">
        <v>1328421600</v>
      </c>
      <c r="K859">
        <v>1330408800</v>
      </c>
      <c r="L859" t="b">
        <v>1</v>
      </c>
      <c r="M859" t="b">
        <v>0</v>
      </c>
      <c r="N859" t="s">
        <v>100</v>
      </c>
      <c r="O859" s="4">
        <f t="shared" si="39"/>
        <v>0.71496020504519087</v>
      </c>
      <c r="P859" t="str">
        <f t="shared" si="40"/>
        <v>film &amp; video</v>
      </c>
      <c r="Q859" t="str">
        <f t="shared" si="41"/>
        <v>shorts</v>
      </c>
    </row>
    <row r="860" spans="1:17" ht="31.2" x14ac:dyDescent="0.3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t="s">
        <v>14</v>
      </c>
      <c r="G860">
        <v>35</v>
      </c>
      <c r="H860" t="s">
        <v>21</v>
      </c>
      <c r="I860" t="s">
        <v>22</v>
      </c>
      <c r="J860">
        <v>1524286800</v>
      </c>
      <c r="K860">
        <v>1524891600</v>
      </c>
      <c r="L860" t="b">
        <v>1</v>
      </c>
      <c r="M860" t="b">
        <v>0</v>
      </c>
      <c r="N860" t="s">
        <v>17</v>
      </c>
      <c r="O860" s="4">
        <f t="shared" si="39"/>
        <v>1.4398848092152627</v>
      </c>
      <c r="P860" t="str">
        <f t="shared" si="40"/>
        <v>food</v>
      </c>
      <c r="Q860" t="str">
        <f t="shared" si="41"/>
        <v>food trucks</v>
      </c>
    </row>
    <row r="861" spans="1:17" ht="31.2" x14ac:dyDescent="0.3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t="s">
        <v>14</v>
      </c>
      <c r="G861">
        <v>63</v>
      </c>
      <c r="H861" t="s">
        <v>21</v>
      </c>
      <c r="I861" t="s">
        <v>22</v>
      </c>
      <c r="J861">
        <v>1362117600</v>
      </c>
      <c r="K861">
        <v>1363669200</v>
      </c>
      <c r="L861" t="b">
        <v>0</v>
      </c>
      <c r="M861" t="b">
        <v>1</v>
      </c>
      <c r="N861" t="s">
        <v>33</v>
      </c>
      <c r="O861" s="4">
        <f t="shared" si="39"/>
        <v>2.8141865844255975</v>
      </c>
      <c r="P861" t="str">
        <f t="shared" si="40"/>
        <v>theater</v>
      </c>
      <c r="Q861" t="str">
        <f t="shared" si="41"/>
        <v>plays</v>
      </c>
    </row>
    <row r="862" spans="1:17" ht="31.2" x14ac:dyDescent="0.3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t="s">
        <v>20</v>
      </c>
      <c r="G862">
        <v>65</v>
      </c>
      <c r="H862" t="s">
        <v>21</v>
      </c>
      <c r="I862" t="s">
        <v>22</v>
      </c>
      <c r="J862">
        <v>1550556000</v>
      </c>
      <c r="K862">
        <v>1551420000</v>
      </c>
      <c r="L862" t="b">
        <v>0</v>
      </c>
      <c r="M862" t="b">
        <v>1</v>
      </c>
      <c r="N862" t="s">
        <v>65</v>
      </c>
      <c r="O862" s="4">
        <f t="shared" si="39"/>
        <v>0.39737730975561297</v>
      </c>
      <c r="P862" t="str">
        <f t="shared" si="40"/>
        <v>technology</v>
      </c>
      <c r="Q862" t="str">
        <f t="shared" si="41"/>
        <v>wearables</v>
      </c>
    </row>
    <row r="863" spans="1:17" x14ac:dyDescent="0.3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t="s">
        <v>20</v>
      </c>
      <c r="G863">
        <v>163</v>
      </c>
      <c r="H863" t="s">
        <v>21</v>
      </c>
      <c r="I863" t="s">
        <v>22</v>
      </c>
      <c r="J863">
        <v>1269147600</v>
      </c>
      <c r="K863">
        <v>1269838800</v>
      </c>
      <c r="L863" t="b">
        <v>0</v>
      </c>
      <c r="M863" t="b">
        <v>0</v>
      </c>
      <c r="N863" t="s">
        <v>33</v>
      </c>
      <c r="O863" s="4">
        <f t="shared" si="39"/>
        <v>0.94451003541912637</v>
      </c>
      <c r="P863" t="str">
        <f t="shared" si="40"/>
        <v>theater</v>
      </c>
      <c r="Q863" t="str">
        <f t="shared" si="41"/>
        <v>plays</v>
      </c>
    </row>
    <row r="864" spans="1:17" ht="31.2" x14ac:dyDescent="0.3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t="s">
        <v>20</v>
      </c>
      <c r="G864">
        <v>85</v>
      </c>
      <c r="H864" t="s">
        <v>21</v>
      </c>
      <c r="I864" t="s">
        <v>22</v>
      </c>
      <c r="J864">
        <v>1312174800</v>
      </c>
      <c r="K864">
        <v>1312520400</v>
      </c>
      <c r="L864" t="b">
        <v>0</v>
      </c>
      <c r="M864" t="b">
        <v>0</v>
      </c>
      <c r="N864" t="s">
        <v>33</v>
      </c>
      <c r="O864" s="4">
        <f t="shared" si="39"/>
        <v>0.53353658536585369</v>
      </c>
      <c r="P864" t="str">
        <f t="shared" si="40"/>
        <v>theater</v>
      </c>
      <c r="Q864" t="str">
        <f t="shared" si="41"/>
        <v>plays</v>
      </c>
    </row>
    <row r="865" spans="1:17" x14ac:dyDescent="0.3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t="s">
        <v>20</v>
      </c>
      <c r="G865">
        <v>217</v>
      </c>
      <c r="H865" t="s">
        <v>21</v>
      </c>
      <c r="I865" t="s">
        <v>22</v>
      </c>
      <c r="J865">
        <v>1434517200</v>
      </c>
      <c r="K865">
        <v>1436504400</v>
      </c>
      <c r="L865" t="b">
        <v>0</v>
      </c>
      <c r="M865" t="b">
        <v>1</v>
      </c>
      <c r="N865" t="s">
        <v>269</v>
      </c>
      <c r="O865" s="4">
        <f t="shared" si="39"/>
        <v>0.25854108956602029</v>
      </c>
      <c r="P865" t="str">
        <f t="shared" si="40"/>
        <v>film &amp; video</v>
      </c>
      <c r="Q865" t="str">
        <f t="shared" si="41"/>
        <v>television</v>
      </c>
    </row>
    <row r="866" spans="1:17" x14ac:dyDescent="0.3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t="s">
        <v>20</v>
      </c>
      <c r="G866">
        <v>150</v>
      </c>
      <c r="H866" t="s">
        <v>21</v>
      </c>
      <c r="I866" t="s">
        <v>22</v>
      </c>
      <c r="J866">
        <v>1471582800</v>
      </c>
      <c r="K866">
        <v>1472014800</v>
      </c>
      <c r="L866" t="b">
        <v>0</v>
      </c>
      <c r="M866" t="b">
        <v>0</v>
      </c>
      <c r="N866" t="s">
        <v>100</v>
      </c>
      <c r="O866" s="4">
        <f t="shared" si="39"/>
        <v>0.28812512862728956</v>
      </c>
      <c r="P866" t="str">
        <f t="shared" si="40"/>
        <v>film &amp; video</v>
      </c>
      <c r="Q866" t="str">
        <f t="shared" si="41"/>
        <v>shorts</v>
      </c>
    </row>
    <row r="867" spans="1:17" ht="31.2" x14ac:dyDescent="0.3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t="s">
        <v>20</v>
      </c>
      <c r="G867">
        <v>3272</v>
      </c>
      <c r="H867" t="s">
        <v>21</v>
      </c>
      <c r="I867" t="s">
        <v>22</v>
      </c>
      <c r="J867">
        <v>1410757200</v>
      </c>
      <c r="K867">
        <v>1411534800</v>
      </c>
      <c r="L867" t="b">
        <v>0</v>
      </c>
      <c r="M867" t="b">
        <v>0</v>
      </c>
      <c r="N867" t="s">
        <v>33</v>
      </c>
      <c r="O867" s="4">
        <f t="shared" si="39"/>
        <v>0.53815234362023723</v>
      </c>
      <c r="P867" t="str">
        <f t="shared" si="40"/>
        <v>theater</v>
      </c>
      <c r="Q867" t="str">
        <f t="shared" si="41"/>
        <v>plays</v>
      </c>
    </row>
    <row r="868" spans="1:17" x14ac:dyDescent="0.3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t="s">
        <v>74</v>
      </c>
      <c r="G868">
        <v>898</v>
      </c>
      <c r="H868" t="s">
        <v>21</v>
      </c>
      <c r="I868" t="s">
        <v>22</v>
      </c>
      <c r="J868">
        <v>1304830800</v>
      </c>
      <c r="K868">
        <v>1304917200</v>
      </c>
      <c r="L868" t="b">
        <v>0</v>
      </c>
      <c r="M868" t="b">
        <v>0</v>
      </c>
      <c r="N868" t="s">
        <v>122</v>
      </c>
      <c r="O868" s="4">
        <f t="shared" si="39"/>
        <v>2.3126067429944968</v>
      </c>
      <c r="P868" t="str">
        <f t="shared" si="40"/>
        <v>photography</v>
      </c>
      <c r="Q868" t="str">
        <f t="shared" si="41"/>
        <v>photography books</v>
      </c>
    </row>
    <row r="869" spans="1:17" ht="31.2" x14ac:dyDescent="0.3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t="s">
        <v>20</v>
      </c>
      <c r="G869">
        <v>300</v>
      </c>
      <c r="H869" t="s">
        <v>21</v>
      </c>
      <c r="I869" t="s">
        <v>22</v>
      </c>
      <c r="J869">
        <v>1539061200</v>
      </c>
      <c r="K869">
        <v>1539579600</v>
      </c>
      <c r="L869" t="b">
        <v>0</v>
      </c>
      <c r="M869" t="b">
        <v>0</v>
      </c>
      <c r="N869" t="s">
        <v>17</v>
      </c>
      <c r="O869" s="4">
        <f t="shared" si="39"/>
        <v>0.61562139284340134</v>
      </c>
      <c r="P869" t="str">
        <f t="shared" si="40"/>
        <v>food</v>
      </c>
      <c r="Q869" t="str">
        <f t="shared" si="41"/>
        <v>food trucks</v>
      </c>
    </row>
    <row r="870" spans="1:17" x14ac:dyDescent="0.3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t="s">
        <v>20</v>
      </c>
      <c r="G870">
        <v>126</v>
      </c>
      <c r="H870" t="s">
        <v>21</v>
      </c>
      <c r="I870" t="s">
        <v>22</v>
      </c>
      <c r="J870">
        <v>1381554000</v>
      </c>
      <c r="K870">
        <v>1382504400</v>
      </c>
      <c r="L870" t="b">
        <v>0</v>
      </c>
      <c r="M870" t="b">
        <v>0</v>
      </c>
      <c r="N870" t="s">
        <v>33</v>
      </c>
      <c r="O870" s="4">
        <f t="shared" si="39"/>
        <v>0.5410000772857253</v>
      </c>
      <c r="P870" t="str">
        <f t="shared" si="40"/>
        <v>theater</v>
      </c>
      <c r="Q870" t="str">
        <f t="shared" si="41"/>
        <v>plays</v>
      </c>
    </row>
    <row r="871" spans="1:17" x14ac:dyDescent="0.3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t="s">
        <v>14</v>
      </c>
      <c r="G871">
        <v>526</v>
      </c>
      <c r="H871" t="s">
        <v>21</v>
      </c>
      <c r="I871" t="s">
        <v>22</v>
      </c>
      <c r="J871">
        <v>1277096400</v>
      </c>
      <c r="K871">
        <v>1278306000</v>
      </c>
      <c r="L871" t="b">
        <v>0</v>
      </c>
      <c r="M871" t="b">
        <v>0</v>
      </c>
      <c r="N871" t="s">
        <v>53</v>
      </c>
      <c r="O871" s="4">
        <f t="shared" si="39"/>
        <v>4.2187825724411088</v>
      </c>
      <c r="P871" t="str">
        <f t="shared" si="40"/>
        <v>film &amp; video</v>
      </c>
      <c r="Q871" t="str">
        <f t="shared" si="41"/>
        <v>drama</v>
      </c>
    </row>
    <row r="872" spans="1:17" x14ac:dyDescent="0.3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t="s">
        <v>14</v>
      </c>
      <c r="G872">
        <v>121</v>
      </c>
      <c r="H872" t="s">
        <v>21</v>
      </c>
      <c r="I872" t="s">
        <v>22</v>
      </c>
      <c r="J872">
        <v>1440392400</v>
      </c>
      <c r="K872">
        <v>1442552400</v>
      </c>
      <c r="L872" t="b">
        <v>0</v>
      </c>
      <c r="M872" t="b">
        <v>0</v>
      </c>
      <c r="N872" t="s">
        <v>33</v>
      </c>
      <c r="O872" s="4">
        <f t="shared" si="39"/>
        <v>1.1127167630057804</v>
      </c>
      <c r="P872" t="str">
        <f t="shared" si="40"/>
        <v>theater</v>
      </c>
      <c r="Q872" t="str">
        <f t="shared" si="41"/>
        <v>plays</v>
      </c>
    </row>
    <row r="873" spans="1:17" ht="31.2" x14ac:dyDescent="0.3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t="s">
        <v>20</v>
      </c>
      <c r="G873">
        <v>2320</v>
      </c>
      <c r="H873" t="s">
        <v>21</v>
      </c>
      <c r="I873" t="s">
        <v>22</v>
      </c>
      <c r="J873">
        <v>1509512400</v>
      </c>
      <c r="K873">
        <v>1511071200</v>
      </c>
      <c r="L873" t="b">
        <v>0</v>
      </c>
      <c r="M873" t="b">
        <v>1</v>
      </c>
      <c r="N873" t="s">
        <v>33</v>
      </c>
      <c r="O873" s="4">
        <f t="shared" si="39"/>
        <v>0.36683221145953043</v>
      </c>
      <c r="P873" t="str">
        <f t="shared" si="40"/>
        <v>theater</v>
      </c>
      <c r="Q873" t="str">
        <f t="shared" si="41"/>
        <v>plays</v>
      </c>
    </row>
    <row r="874" spans="1:17" x14ac:dyDescent="0.3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t="s">
        <v>20</v>
      </c>
      <c r="G874">
        <v>81</v>
      </c>
      <c r="H874" t="s">
        <v>26</v>
      </c>
      <c r="I874" t="s">
        <v>27</v>
      </c>
      <c r="J874">
        <v>1535950800</v>
      </c>
      <c r="K874">
        <v>1536382800</v>
      </c>
      <c r="L874" t="b">
        <v>0</v>
      </c>
      <c r="M874" t="b">
        <v>0</v>
      </c>
      <c r="N874" t="s">
        <v>474</v>
      </c>
      <c r="O874" s="4">
        <f t="shared" si="39"/>
        <v>0.5880880880880881</v>
      </c>
      <c r="P874" t="str">
        <f t="shared" si="40"/>
        <v>film &amp; video</v>
      </c>
      <c r="Q874" t="str">
        <f t="shared" si="41"/>
        <v>science fiction</v>
      </c>
    </row>
    <row r="875" spans="1:17" x14ac:dyDescent="0.3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t="s">
        <v>20</v>
      </c>
      <c r="G875">
        <v>1887</v>
      </c>
      <c r="H875" t="s">
        <v>21</v>
      </c>
      <c r="I875" t="s">
        <v>22</v>
      </c>
      <c r="J875">
        <v>1389160800</v>
      </c>
      <c r="K875">
        <v>1389592800</v>
      </c>
      <c r="L875" t="b">
        <v>0</v>
      </c>
      <c r="M875" t="b">
        <v>0</v>
      </c>
      <c r="N875" t="s">
        <v>122</v>
      </c>
      <c r="O875" s="4">
        <f t="shared" si="39"/>
        <v>0.53110965332795079</v>
      </c>
      <c r="P875" t="str">
        <f t="shared" si="40"/>
        <v>photography</v>
      </c>
      <c r="Q875" t="str">
        <f t="shared" si="41"/>
        <v>photography books</v>
      </c>
    </row>
    <row r="876" spans="1:17" x14ac:dyDescent="0.3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t="s">
        <v>20</v>
      </c>
      <c r="G876">
        <v>4358</v>
      </c>
      <c r="H876" t="s">
        <v>21</v>
      </c>
      <c r="I876" t="s">
        <v>22</v>
      </c>
      <c r="J876">
        <v>1271998800</v>
      </c>
      <c r="K876">
        <v>1275282000</v>
      </c>
      <c r="L876" t="b">
        <v>0</v>
      </c>
      <c r="M876" t="b">
        <v>1</v>
      </c>
      <c r="N876" t="s">
        <v>122</v>
      </c>
      <c r="O876" s="4">
        <f t="shared" si="39"/>
        <v>0.28823816215906156</v>
      </c>
      <c r="P876" t="str">
        <f t="shared" si="40"/>
        <v>photography</v>
      </c>
      <c r="Q876" t="str">
        <f t="shared" si="41"/>
        <v>photography books</v>
      </c>
    </row>
    <row r="877" spans="1:17" x14ac:dyDescent="0.3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t="s">
        <v>14</v>
      </c>
      <c r="G877">
        <v>67</v>
      </c>
      <c r="H877" t="s">
        <v>21</v>
      </c>
      <c r="I877" t="s">
        <v>22</v>
      </c>
      <c r="J877">
        <v>1294898400</v>
      </c>
      <c r="K877">
        <v>1294984800</v>
      </c>
      <c r="L877" t="b">
        <v>0</v>
      </c>
      <c r="M877" t="b">
        <v>0</v>
      </c>
      <c r="N877" t="s">
        <v>23</v>
      </c>
      <c r="O877" s="4">
        <f t="shared" si="39"/>
        <v>1.4455626715462031</v>
      </c>
      <c r="P877" t="str">
        <f t="shared" si="40"/>
        <v>music</v>
      </c>
      <c r="Q877" t="str">
        <f t="shared" si="41"/>
        <v>rock</v>
      </c>
    </row>
    <row r="878" spans="1:17" ht="31.2" x14ac:dyDescent="0.3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t="s">
        <v>14</v>
      </c>
      <c r="G878">
        <v>57</v>
      </c>
      <c r="H878" t="s">
        <v>15</v>
      </c>
      <c r="I878" t="s">
        <v>16</v>
      </c>
      <c r="J878">
        <v>1559970000</v>
      </c>
      <c r="K878">
        <v>1562043600</v>
      </c>
      <c r="L878" t="b">
        <v>0</v>
      </c>
      <c r="M878" t="b">
        <v>0</v>
      </c>
      <c r="N878" t="s">
        <v>122</v>
      </c>
      <c r="O878" s="4">
        <f t="shared" si="39"/>
        <v>3.9317858834675508</v>
      </c>
      <c r="P878" t="str">
        <f t="shared" si="40"/>
        <v>photography</v>
      </c>
      <c r="Q878" t="str">
        <f t="shared" si="41"/>
        <v>photography books</v>
      </c>
    </row>
    <row r="879" spans="1:17" x14ac:dyDescent="0.3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t="s">
        <v>14</v>
      </c>
      <c r="G879">
        <v>1229</v>
      </c>
      <c r="H879" t="s">
        <v>21</v>
      </c>
      <c r="I879" t="s">
        <v>22</v>
      </c>
      <c r="J879">
        <v>1469509200</v>
      </c>
      <c r="K879">
        <v>1469595600</v>
      </c>
      <c r="L879" t="b">
        <v>0</v>
      </c>
      <c r="M879" t="b">
        <v>0</v>
      </c>
      <c r="N879" t="s">
        <v>17</v>
      </c>
      <c r="O879" s="4">
        <f t="shared" si="39"/>
        <v>1.2919733392298702</v>
      </c>
      <c r="P879" t="str">
        <f t="shared" si="40"/>
        <v>food</v>
      </c>
      <c r="Q879" t="str">
        <f t="shared" si="41"/>
        <v>food trucks</v>
      </c>
    </row>
    <row r="880" spans="1:17" x14ac:dyDescent="0.3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t="s">
        <v>14</v>
      </c>
      <c r="G880">
        <v>12</v>
      </c>
      <c r="H880" t="s">
        <v>107</v>
      </c>
      <c r="I880" t="s">
        <v>108</v>
      </c>
      <c r="J880">
        <v>1579068000</v>
      </c>
      <c r="K880">
        <v>1581141600</v>
      </c>
      <c r="L880" t="b">
        <v>0</v>
      </c>
      <c r="M880" t="b">
        <v>0</v>
      </c>
      <c r="N880" t="s">
        <v>148</v>
      </c>
      <c r="O880" s="4">
        <f t="shared" si="39"/>
        <v>2.6679841897233203</v>
      </c>
      <c r="P880" t="str">
        <f t="shared" si="40"/>
        <v>music</v>
      </c>
      <c r="Q880" t="str">
        <f t="shared" si="41"/>
        <v>metal</v>
      </c>
    </row>
    <row r="881" spans="1:17" x14ac:dyDescent="0.3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t="s">
        <v>20</v>
      </c>
      <c r="G881">
        <v>53</v>
      </c>
      <c r="H881" t="s">
        <v>21</v>
      </c>
      <c r="I881" t="s">
        <v>22</v>
      </c>
      <c r="J881">
        <v>1487743200</v>
      </c>
      <c r="K881">
        <v>1488520800</v>
      </c>
      <c r="L881" t="b">
        <v>0</v>
      </c>
      <c r="M881" t="b">
        <v>0</v>
      </c>
      <c r="N881" t="s">
        <v>68</v>
      </c>
      <c r="O881" s="4">
        <f t="shared" si="39"/>
        <v>0.18389113644722324</v>
      </c>
      <c r="P881" t="str">
        <f t="shared" si="40"/>
        <v>publishing</v>
      </c>
      <c r="Q881" t="str">
        <f t="shared" si="41"/>
        <v>nonfiction</v>
      </c>
    </row>
    <row r="882" spans="1:17" ht="31.2" x14ac:dyDescent="0.3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t="s">
        <v>20</v>
      </c>
      <c r="G882">
        <v>2414</v>
      </c>
      <c r="H882" t="s">
        <v>21</v>
      </c>
      <c r="I882" t="s">
        <v>22</v>
      </c>
      <c r="J882">
        <v>1563685200</v>
      </c>
      <c r="K882">
        <v>1563858000</v>
      </c>
      <c r="L882" t="b">
        <v>0</v>
      </c>
      <c r="M882" t="b">
        <v>0</v>
      </c>
      <c r="N882" t="s">
        <v>50</v>
      </c>
      <c r="O882" s="4">
        <f t="shared" si="39"/>
        <v>0.43759483379164271</v>
      </c>
      <c r="P882" t="str">
        <f t="shared" si="40"/>
        <v>music</v>
      </c>
      <c r="Q882" t="str">
        <f t="shared" si="41"/>
        <v>electric music</v>
      </c>
    </row>
    <row r="883" spans="1:17" x14ac:dyDescent="0.3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t="s">
        <v>14</v>
      </c>
      <c r="G883">
        <v>452</v>
      </c>
      <c r="H883" t="s">
        <v>21</v>
      </c>
      <c r="I883" t="s">
        <v>22</v>
      </c>
      <c r="J883">
        <v>1436418000</v>
      </c>
      <c r="K883">
        <v>1438923600</v>
      </c>
      <c r="L883" t="b">
        <v>0</v>
      </c>
      <c r="M883" t="b">
        <v>1</v>
      </c>
      <c r="N883" t="s">
        <v>33</v>
      </c>
      <c r="O883" s="4">
        <f t="shared" si="39"/>
        <v>2.5675035528185695</v>
      </c>
      <c r="P883" t="str">
        <f t="shared" si="40"/>
        <v>theater</v>
      </c>
      <c r="Q883" t="str">
        <f t="shared" si="41"/>
        <v>plays</v>
      </c>
    </row>
    <row r="884" spans="1:17" x14ac:dyDescent="0.3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t="s">
        <v>20</v>
      </c>
      <c r="G884">
        <v>80</v>
      </c>
      <c r="H884" t="s">
        <v>21</v>
      </c>
      <c r="I884" t="s">
        <v>22</v>
      </c>
      <c r="J884">
        <v>1421820000</v>
      </c>
      <c r="K884">
        <v>1422165600</v>
      </c>
      <c r="L884" t="b">
        <v>0</v>
      </c>
      <c r="M884" t="b">
        <v>0</v>
      </c>
      <c r="N884" t="s">
        <v>33</v>
      </c>
      <c r="O884" s="4">
        <f t="shared" si="39"/>
        <v>0.27027027027027029</v>
      </c>
      <c r="P884" t="str">
        <f t="shared" si="40"/>
        <v>theater</v>
      </c>
      <c r="Q884" t="str">
        <f t="shared" si="41"/>
        <v>plays</v>
      </c>
    </row>
    <row r="885" spans="1:17" ht="31.2" x14ac:dyDescent="0.3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t="s">
        <v>20</v>
      </c>
      <c r="G885">
        <v>193</v>
      </c>
      <c r="H885" t="s">
        <v>21</v>
      </c>
      <c r="I885" t="s">
        <v>22</v>
      </c>
      <c r="J885">
        <v>1274763600</v>
      </c>
      <c r="K885">
        <v>1277874000</v>
      </c>
      <c r="L885" t="b">
        <v>0</v>
      </c>
      <c r="M885" t="b">
        <v>0</v>
      </c>
      <c r="N885" t="s">
        <v>100</v>
      </c>
      <c r="O885" s="4">
        <f t="shared" si="39"/>
        <v>0.42032389664977127</v>
      </c>
      <c r="P885" t="str">
        <f t="shared" si="40"/>
        <v>film &amp; video</v>
      </c>
      <c r="Q885" t="str">
        <f t="shared" si="41"/>
        <v>shorts</v>
      </c>
    </row>
    <row r="886" spans="1:17" x14ac:dyDescent="0.3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t="s">
        <v>14</v>
      </c>
      <c r="G886">
        <v>1886</v>
      </c>
      <c r="H886" t="s">
        <v>21</v>
      </c>
      <c r="I886" t="s">
        <v>22</v>
      </c>
      <c r="J886">
        <v>1399179600</v>
      </c>
      <c r="K886">
        <v>1399352400</v>
      </c>
      <c r="L886" t="b">
        <v>0</v>
      </c>
      <c r="M886" t="b">
        <v>1</v>
      </c>
      <c r="N886" t="s">
        <v>33</v>
      </c>
      <c r="O886" s="4">
        <f t="shared" si="39"/>
        <v>1.5616142776162525</v>
      </c>
      <c r="P886" t="str">
        <f t="shared" si="40"/>
        <v>theater</v>
      </c>
      <c r="Q886" t="str">
        <f t="shared" si="41"/>
        <v>plays</v>
      </c>
    </row>
    <row r="887" spans="1:17" x14ac:dyDescent="0.3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t="s">
        <v>20</v>
      </c>
      <c r="G887">
        <v>52</v>
      </c>
      <c r="H887" t="s">
        <v>21</v>
      </c>
      <c r="I887" t="s">
        <v>22</v>
      </c>
      <c r="J887">
        <v>1275800400</v>
      </c>
      <c r="K887">
        <v>1279083600</v>
      </c>
      <c r="L887" t="b">
        <v>0</v>
      </c>
      <c r="M887" t="b">
        <v>0</v>
      </c>
      <c r="N887" t="s">
        <v>33</v>
      </c>
      <c r="O887" s="4">
        <f t="shared" si="39"/>
        <v>0.84546735556599339</v>
      </c>
      <c r="P887" t="str">
        <f t="shared" si="40"/>
        <v>theater</v>
      </c>
      <c r="Q887" t="str">
        <f t="shared" si="41"/>
        <v>plays</v>
      </c>
    </row>
    <row r="888" spans="1:17" x14ac:dyDescent="0.3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t="s">
        <v>14</v>
      </c>
      <c r="G888">
        <v>1825</v>
      </c>
      <c r="H888" t="s">
        <v>21</v>
      </c>
      <c r="I888" t="s">
        <v>22</v>
      </c>
      <c r="J888">
        <v>1282798800</v>
      </c>
      <c r="K888">
        <v>1284354000</v>
      </c>
      <c r="L888" t="b">
        <v>0</v>
      </c>
      <c r="M888" t="b">
        <v>0</v>
      </c>
      <c r="N888" t="s">
        <v>60</v>
      </c>
      <c r="O888" s="4">
        <f t="shared" si="39"/>
        <v>1.1789111119808995</v>
      </c>
      <c r="P888" t="str">
        <f t="shared" si="40"/>
        <v>music</v>
      </c>
      <c r="Q888" t="str">
        <f t="shared" si="41"/>
        <v>indie rock</v>
      </c>
    </row>
    <row r="889" spans="1:17" ht="31.2" x14ac:dyDescent="0.3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t="s">
        <v>14</v>
      </c>
      <c r="G889">
        <v>31</v>
      </c>
      <c r="H889" t="s">
        <v>21</v>
      </c>
      <c r="I889" t="s">
        <v>22</v>
      </c>
      <c r="J889">
        <v>1437109200</v>
      </c>
      <c r="K889">
        <v>1441170000</v>
      </c>
      <c r="L889" t="b">
        <v>0</v>
      </c>
      <c r="M889" t="b">
        <v>1</v>
      </c>
      <c r="N889" t="s">
        <v>33</v>
      </c>
      <c r="O889" s="4">
        <f t="shared" si="39"/>
        <v>3.4076015727391873</v>
      </c>
      <c r="P889" t="str">
        <f t="shared" si="40"/>
        <v>theater</v>
      </c>
      <c r="Q889" t="str">
        <f t="shared" si="41"/>
        <v>plays</v>
      </c>
    </row>
    <row r="890" spans="1:17" ht="31.2" x14ac:dyDescent="0.3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t="s">
        <v>20</v>
      </c>
      <c r="G890">
        <v>290</v>
      </c>
      <c r="H890" t="s">
        <v>21</v>
      </c>
      <c r="I890" t="s">
        <v>22</v>
      </c>
      <c r="J890">
        <v>1491886800</v>
      </c>
      <c r="K890">
        <v>1493528400</v>
      </c>
      <c r="L890" t="b">
        <v>0</v>
      </c>
      <c r="M890" t="b">
        <v>0</v>
      </c>
      <c r="N890" t="s">
        <v>33</v>
      </c>
      <c r="O890" s="4">
        <f t="shared" si="39"/>
        <v>0.47642516839165433</v>
      </c>
      <c r="P890" t="str">
        <f t="shared" si="40"/>
        <v>theater</v>
      </c>
      <c r="Q890" t="str">
        <f t="shared" si="41"/>
        <v>plays</v>
      </c>
    </row>
    <row r="891" spans="1:17" x14ac:dyDescent="0.3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t="s">
        <v>20</v>
      </c>
      <c r="G891">
        <v>122</v>
      </c>
      <c r="H891" t="s">
        <v>21</v>
      </c>
      <c r="I891" t="s">
        <v>22</v>
      </c>
      <c r="J891">
        <v>1394600400</v>
      </c>
      <c r="K891">
        <v>1395205200</v>
      </c>
      <c r="L891" t="b">
        <v>0</v>
      </c>
      <c r="M891" t="b">
        <v>1</v>
      </c>
      <c r="N891" t="s">
        <v>50</v>
      </c>
      <c r="O891" s="4">
        <f t="shared" si="39"/>
        <v>0.5889777029869584</v>
      </c>
      <c r="P891" t="str">
        <f t="shared" si="40"/>
        <v>music</v>
      </c>
      <c r="Q891" t="str">
        <f t="shared" si="41"/>
        <v>electric music</v>
      </c>
    </row>
    <row r="892" spans="1:17" x14ac:dyDescent="0.3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t="s">
        <v>20</v>
      </c>
      <c r="G892">
        <v>1470</v>
      </c>
      <c r="H892" t="s">
        <v>21</v>
      </c>
      <c r="I892" t="s">
        <v>22</v>
      </c>
      <c r="J892">
        <v>1561352400</v>
      </c>
      <c r="K892">
        <v>1561438800</v>
      </c>
      <c r="L892" t="b">
        <v>0</v>
      </c>
      <c r="M892" t="b">
        <v>0</v>
      </c>
      <c r="N892" t="s">
        <v>60</v>
      </c>
      <c r="O892" s="4">
        <f t="shared" si="39"/>
        <v>0.86237319456653561</v>
      </c>
      <c r="P892" t="str">
        <f t="shared" si="40"/>
        <v>music</v>
      </c>
      <c r="Q892" t="str">
        <f t="shared" si="41"/>
        <v>indie rock</v>
      </c>
    </row>
    <row r="893" spans="1:17" ht="31.2" x14ac:dyDescent="0.3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t="s">
        <v>20</v>
      </c>
      <c r="G893">
        <v>165</v>
      </c>
      <c r="H893" t="s">
        <v>15</v>
      </c>
      <c r="I893" t="s">
        <v>16</v>
      </c>
      <c r="J893">
        <v>1322892000</v>
      </c>
      <c r="K893">
        <v>1326693600</v>
      </c>
      <c r="L893" t="b">
        <v>0</v>
      </c>
      <c r="M893" t="b">
        <v>0</v>
      </c>
      <c r="N893" t="s">
        <v>42</v>
      </c>
      <c r="O893" s="4">
        <f t="shared" si="39"/>
        <v>0.38669760247486468</v>
      </c>
      <c r="P893" t="str">
        <f t="shared" si="40"/>
        <v>film &amp; video</v>
      </c>
      <c r="Q893" t="str">
        <f t="shared" si="41"/>
        <v>documentary</v>
      </c>
    </row>
    <row r="894" spans="1:17" x14ac:dyDescent="0.3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t="s">
        <v>20</v>
      </c>
      <c r="G894">
        <v>182</v>
      </c>
      <c r="H894" t="s">
        <v>21</v>
      </c>
      <c r="I894" t="s">
        <v>22</v>
      </c>
      <c r="J894">
        <v>1274418000</v>
      </c>
      <c r="K894">
        <v>1277960400</v>
      </c>
      <c r="L894" t="b">
        <v>0</v>
      </c>
      <c r="M894" t="b">
        <v>0</v>
      </c>
      <c r="N894" t="s">
        <v>206</v>
      </c>
      <c r="O894" s="4">
        <f t="shared" si="39"/>
        <v>0.43368268883267075</v>
      </c>
      <c r="P894" t="str">
        <f t="shared" si="40"/>
        <v>publishing</v>
      </c>
      <c r="Q894" t="str">
        <f t="shared" si="41"/>
        <v>translations</v>
      </c>
    </row>
    <row r="895" spans="1:17" x14ac:dyDescent="0.3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t="s">
        <v>20</v>
      </c>
      <c r="G895">
        <v>199</v>
      </c>
      <c r="H895" t="s">
        <v>107</v>
      </c>
      <c r="I895" t="s">
        <v>108</v>
      </c>
      <c r="J895">
        <v>1434344400</v>
      </c>
      <c r="K895">
        <v>1434690000</v>
      </c>
      <c r="L895" t="b">
        <v>0</v>
      </c>
      <c r="M895" t="b">
        <v>1</v>
      </c>
      <c r="N895" t="s">
        <v>42</v>
      </c>
      <c r="O895" s="4">
        <f t="shared" si="39"/>
        <v>0.77994428969359331</v>
      </c>
      <c r="P895" t="str">
        <f t="shared" si="40"/>
        <v>film &amp; video</v>
      </c>
      <c r="Q895" t="str">
        <f t="shared" si="41"/>
        <v>documentary</v>
      </c>
    </row>
    <row r="896" spans="1:17" x14ac:dyDescent="0.3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t="s">
        <v>20</v>
      </c>
      <c r="G896">
        <v>56</v>
      </c>
      <c r="H896" t="s">
        <v>40</v>
      </c>
      <c r="I896" t="s">
        <v>41</v>
      </c>
      <c r="J896">
        <v>1373518800</v>
      </c>
      <c r="K896">
        <v>1376110800</v>
      </c>
      <c r="L896" t="b">
        <v>0</v>
      </c>
      <c r="M896" t="b">
        <v>1</v>
      </c>
      <c r="N896" t="s">
        <v>269</v>
      </c>
      <c r="O896" s="4">
        <f t="shared" si="39"/>
        <v>0.52992518703241898</v>
      </c>
      <c r="P896" t="str">
        <f t="shared" si="40"/>
        <v>film &amp; video</v>
      </c>
      <c r="Q896" t="str">
        <f t="shared" si="41"/>
        <v>television</v>
      </c>
    </row>
    <row r="897" spans="1:17" ht="31.2" x14ac:dyDescent="0.3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t="s">
        <v>14</v>
      </c>
      <c r="G897">
        <v>107</v>
      </c>
      <c r="H897" t="s">
        <v>21</v>
      </c>
      <c r="I897" t="s">
        <v>22</v>
      </c>
      <c r="J897">
        <v>1517637600</v>
      </c>
      <c r="K897">
        <v>1518415200</v>
      </c>
      <c r="L897" t="b">
        <v>0</v>
      </c>
      <c r="M897" t="b">
        <v>0</v>
      </c>
      <c r="N897" t="s">
        <v>33</v>
      </c>
      <c r="O897" s="4">
        <f t="shared" si="39"/>
        <v>14.386028087864602</v>
      </c>
      <c r="P897" t="str">
        <f t="shared" si="40"/>
        <v>theater</v>
      </c>
      <c r="Q897" t="str">
        <f t="shared" si="41"/>
        <v>plays</v>
      </c>
    </row>
    <row r="898" spans="1:17" ht="31.2" x14ac:dyDescent="0.3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t="s">
        <v>20</v>
      </c>
      <c r="G898">
        <v>1460</v>
      </c>
      <c r="H898" t="s">
        <v>26</v>
      </c>
      <c r="I898" t="s">
        <v>27</v>
      </c>
      <c r="J898">
        <v>1310619600</v>
      </c>
      <c r="K898">
        <v>1310878800</v>
      </c>
      <c r="L898" t="b">
        <v>0</v>
      </c>
      <c r="M898" t="b">
        <v>1</v>
      </c>
      <c r="N898" t="s">
        <v>17</v>
      </c>
      <c r="O898" s="4">
        <f t="shared" si="39"/>
        <v>0.1291265048455047</v>
      </c>
      <c r="P898" t="str">
        <f t="shared" si="40"/>
        <v>food</v>
      </c>
      <c r="Q898" t="str">
        <f t="shared" si="41"/>
        <v>food trucks</v>
      </c>
    </row>
    <row r="899" spans="1:17" x14ac:dyDescent="0.3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t="s">
        <v>14</v>
      </c>
      <c r="G899">
        <v>27</v>
      </c>
      <c r="H899" t="s">
        <v>21</v>
      </c>
      <c r="I899" t="s">
        <v>22</v>
      </c>
      <c r="J899">
        <v>1556427600</v>
      </c>
      <c r="K899">
        <v>1556600400</v>
      </c>
      <c r="L899" t="b">
        <v>0</v>
      </c>
      <c r="M899" t="b">
        <v>0</v>
      </c>
      <c r="N899" t="s">
        <v>33</v>
      </c>
      <c r="O899" s="4">
        <f t="shared" ref="O899:O962" si="42">D899/E899</f>
        <v>3.6109971276159212</v>
      </c>
      <c r="P899" t="str">
        <f t="shared" ref="P899:P962" si="43">LEFT(N899,SEARCH("/",N899) -1)</f>
        <v>theater</v>
      </c>
      <c r="Q899" t="str">
        <f t="shared" ref="Q899:Q962" si="44">RIGHT(N899,LEN(N899)-SEARCH("/",N899))</f>
        <v>plays</v>
      </c>
    </row>
    <row r="900" spans="1:17" x14ac:dyDescent="0.3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t="s">
        <v>14</v>
      </c>
      <c r="G900">
        <v>1221</v>
      </c>
      <c r="H900" t="s">
        <v>21</v>
      </c>
      <c r="I900" t="s">
        <v>22</v>
      </c>
      <c r="J900">
        <v>1576476000</v>
      </c>
      <c r="K900">
        <v>1576994400</v>
      </c>
      <c r="L900" t="b">
        <v>0</v>
      </c>
      <c r="M900" t="b">
        <v>0</v>
      </c>
      <c r="N900" t="s">
        <v>42</v>
      </c>
      <c r="O900" s="4">
        <f t="shared" si="42"/>
        <v>1.9055015905778212</v>
      </c>
      <c r="P900" t="str">
        <f t="shared" si="43"/>
        <v>film &amp; video</v>
      </c>
      <c r="Q900" t="str">
        <f t="shared" si="44"/>
        <v>documentary</v>
      </c>
    </row>
    <row r="901" spans="1:17" x14ac:dyDescent="0.3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t="s">
        <v>20</v>
      </c>
      <c r="G901">
        <v>123</v>
      </c>
      <c r="H901" t="s">
        <v>98</v>
      </c>
      <c r="I901" t="s">
        <v>99</v>
      </c>
      <c r="J901">
        <v>1381122000</v>
      </c>
      <c r="K901">
        <v>1382677200</v>
      </c>
      <c r="L901" t="b">
        <v>0</v>
      </c>
      <c r="M901" t="b">
        <v>0</v>
      </c>
      <c r="N901" t="s">
        <v>159</v>
      </c>
      <c r="O901" s="4">
        <f t="shared" si="42"/>
        <v>0.24564183835182252</v>
      </c>
      <c r="P901" t="str">
        <f t="shared" si="43"/>
        <v>music</v>
      </c>
      <c r="Q901" t="str">
        <f t="shared" si="44"/>
        <v>jazz</v>
      </c>
    </row>
    <row r="902" spans="1:17" x14ac:dyDescent="0.3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t="s">
        <v>14</v>
      </c>
      <c r="G902">
        <v>1</v>
      </c>
      <c r="H902" t="s">
        <v>21</v>
      </c>
      <c r="I902" t="s">
        <v>22</v>
      </c>
      <c r="J902">
        <v>1411102800</v>
      </c>
      <c r="K902">
        <v>1411189200</v>
      </c>
      <c r="L902" t="b">
        <v>0</v>
      </c>
      <c r="M902" t="b">
        <v>1</v>
      </c>
      <c r="N902" t="s">
        <v>28</v>
      </c>
      <c r="O902" s="4">
        <f t="shared" si="42"/>
        <v>50</v>
      </c>
      <c r="P902" t="str">
        <f t="shared" si="43"/>
        <v>technology</v>
      </c>
      <c r="Q902" t="str">
        <f t="shared" si="44"/>
        <v>web</v>
      </c>
    </row>
    <row r="903" spans="1:17" x14ac:dyDescent="0.3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t="s">
        <v>20</v>
      </c>
      <c r="G903">
        <v>159</v>
      </c>
      <c r="H903" t="s">
        <v>21</v>
      </c>
      <c r="I903" t="s">
        <v>22</v>
      </c>
      <c r="J903">
        <v>1531803600</v>
      </c>
      <c r="K903">
        <v>1534654800</v>
      </c>
      <c r="L903" t="b">
        <v>0</v>
      </c>
      <c r="M903" t="b">
        <v>1</v>
      </c>
      <c r="N903" t="s">
        <v>23</v>
      </c>
      <c r="O903" s="4">
        <f t="shared" si="42"/>
        <v>0.64029270523667958</v>
      </c>
      <c r="P903" t="str">
        <f t="shared" si="43"/>
        <v>music</v>
      </c>
      <c r="Q903" t="str">
        <f t="shared" si="44"/>
        <v>rock</v>
      </c>
    </row>
    <row r="904" spans="1:17" x14ac:dyDescent="0.3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t="s">
        <v>20</v>
      </c>
      <c r="G904">
        <v>110</v>
      </c>
      <c r="H904" t="s">
        <v>21</v>
      </c>
      <c r="I904" t="s">
        <v>22</v>
      </c>
      <c r="J904">
        <v>1454133600</v>
      </c>
      <c r="K904">
        <v>1457762400</v>
      </c>
      <c r="L904" t="b">
        <v>0</v>
      </c>
      <c r="M904" t="b">
        <v>0</v>
      </c>
      <c r="N904" t="s">
        <v>28</v>
      </c>
      <c r="O904" s="4">
        <f t="shared" si="42"/>
        <v>0.39615166949632147</v>
      </c>
      <c r="P904" t="str">
        <f t="shared" si="43"/>
        <v>technology</v>
      </c>
      <c r="Q904" t="str">
        <f t="shared" si="44"/>
        <v>web</v>
      </c>
    </row>
    <row r="905" spans="1:17" ht="31.2" x14ac:dyDescent="0.3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t="s">
        <v>47</v>
      </c>
      <c r="G905">
        <v>14</v>
      </c>
      <c r="H905" t="s">
        <v>21</v>
      </c>
      <c r="I905" t="s">
        <v>22</v>
      </c>
      <c r="J905">
        <v>1336194000</v>
      </c>
      <c r="K905">
        <v>1337490000</v>
      </c>
      <c r="L905" t="b">
        <v>0</v>
      </c>
      <c r="M905" t="b">
        <v>1</v>
      </c>
      <c r="N905" t="s">
        <v>68</v>
      </c>
      <c r="O905" s="4">
        <f t="shared" si="42"/>
        <v>57.827926657263752</v>
      </c>
      <c r="P905" t="str">
        <f t="shared" si="43"/>
        <v>publishing</v>
      </c>
      <c r="Q905" t="str">
        <f t="shared" si="44"/>
        <v>nonfiction</v>
      </c>
    </row>
    <row r="906" spans="1:17" x14ac:dyDescent="0.3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t="s">
        <v>14</v>
      </c>
      <c r="G906">
        <v>16</v>
      </c>
      <c r="H906" t="s">
        <v>21</v>
      </c>
      <c r="I906" t="s">
        <v>22</v>
      </c>
      <c r="J906">
        <v>1349326800</v>
      </c>
      <c r="K906">
        <v>1349672400</v>
      </c>
      <c r="L906" t="b">
        <v>0</v>
      </c>
      <c r="M906" t="b">
        <v>0</v>
      </c>
      <c r="N906" t="s">
        <v>133</v>
      </c>
      <c r="O906" s="4">
        <f t="shared" si="42"/>
        <v>8.1761006289308185</v>
      </c>
      <c r="P906" t="str">
        <f t="shared" si="43"/>
        <v>publishing</v>
      </c>
      <c r="Q906" t="str">
        <f t="shared" si="44"/>
        <v>radio &amp; podcasts</v>
      </c>
    </row>
    <row r="907" spans="1:17" x14ac:dyDescent="0.3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t="s">
        <v>20</v>
      </c>
      <c r="G907">
        <v>236</v>
      </c>
      <c r="H907" t="s">
        <v>21</v>
      </c>
      <c r="I907" t="s">
        <v>22</v>
      </c>
      <c r="J907">
        <v>1379566800</v>
      </c>
      <c r="K907">
        <v>1379826000</v>
      </c>
      <c r="L907" t="b">
        <v>0</v>
      </c>
      <c r="M907" t="b">
        <v>0</v>
      </c>
      <c r="N907" t="s">
        <v>33</v>
      </c>
      <c r="O907" s="4">
        <f t="shared" si="42"/>
        <v>0.60980316480123509</v>
      </c>
      <c r="P907" t="str">
        <f t="shared" si="43"/>
        <v>theater</v>
      </c>
      <c r="Q907" t="str">
        <f t="shared" si="44"/>
        <v>plays</v>
      </c>
    </row>
    <row r="908" spans="1:17" ht="31.2" x14ac:dyDescent="0.3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t="s">
        <v>20</v>
      </c>
      <c r="G908">
        <v>191</v>
      </c>
      <c r="H908" t="s">
        <v>21</v>
      </c>
      <c r="I908" t="s">
        <v>22</v>
      </c>
      <c r="J908">
        <v>1494651600</v>
      </c>
      <c r="K908">
        <v>1497762000</v>
      </c>
      <c r="L908" t="b">
        <v>1</v>
      </c>
      <c r="M908" t="b">
        <v>1</v>
      </c>
      <c r="N908" t="s">
        <v>42</v>
      </c>
      <c r="O908" s="4">
        <f t="shared" si="42"/>
        <v>0.61356537260151722</v>
      </c>
      <c r="P908" t="str">
        <f t="shared" si="43"/>
        <v>film &amp; video</v>
      </c>
      <c r="Q908" t="str">
        <f t="shared" si="44"/>
        <v>documentary</v>
      </c>
    </row>
    <row r="909" spans="1:17" x14ac:dyDescent="0.3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t="s">
        <v>14</v>
      </c>
      <c r="G909">
        <v>41</v>
      </c>
      <c r="H909" t="s">
        <v>21</v>
      </c>
      <c r="I909" t="s">
        <v>22</v>
      </c>
      <c r="J909">
        <v>1303880400</v>
      </c>
      <c r="K909">
        <v>1304485200</v>
      </c>
      <c r="L909" t="b">
        <v>0</v>
      </c>
      <c r="M909" t="b">
        <v>0</v>
      </c>
      <c r="N909" t="s">
        <v>33</v>
      </c>
      <c r="O909" s="4">
        <f t="shared" si="42"/>
        <v>4.9376017362995119</v>
      </c>
      <c r="P909" t="str">
        <f t="shared" si="43"/>
        <v>theater</v>
      </c>
      <c r="Q909" t="str">
        <f t="shared" si="44"/>
        <v>plays</v>
      </c>
    </row>
    <row r="910" spans="1:17" x14ac:dyDescent="0.3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t="s">
        <v>20</v>
      </c>
      <c r="G910">
        <v>3934</v>
      </c>
      <c r="H910" t="s">
        <v>21</v>
      </c>
      <c r="I910" t="s">
        <v>22</v>
      </c>
      <c r="J910">
        <v>1335934800</v>
      </c>
      <c r="K910">
        <v>1336885200</v>
      </c>
      <c r="L910" t="b">
        <v>0</v>
      </c>
      <c r="M910" t="b">
        <v>0</v>
      </c>
      <c r="N910" t="s">
        <v>89</v>
      </c>
      <c r="O910" s="4">
        <f t="shared" si="42"/>
        <v>0.31324313243132429</v>
      </c>
      <c r="P910" t="str">
        <f t="shared" si="43"/>
        <v>games</v>
      </c>
      <c r="Q910" t="str">
        <f t="shared" si="44"/>
        <v>video games</v>
      </c>
    </row>
    <row r="911" spans="1:17" x14ac:dyDescent="0.3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t="s">
        <v>20</v>
      </c>
      <c r="G911">
        <v>80</v>
      </c>
      <c r="H911" t="s">
        <v>15</v>
      </c>
      <c r="I911" t="s">
        <v>16</v>
      </c>
      <c r="J911">
        <v>1528088400</v>
      </c>
      <c r="K911">
        <v>1530421200</v>
      </c>
      <c r="L911" t="b">
        <v>0</v>
      </c>
      <c r="M911" t="b">
        <v>1</v>
      </c>
      <c r="N911" t="s">
        <v>33</v>
      </c>
      <c r="O911" s="4">
        <f t="shared" si="42"/>
        <v>0.20879248347059506</v>
      </c>
      <c r="P911" t="str">
        <f t="shared" si="43"/>
        <v>theater</v>
      </c>
      <c r="Q911" t="str">
        <f t="shared" si="44"/>
        <v>plays</v>
      </c>
    </row>
    <row r="912" spans="1:17" x14ac:dyDescent="0.3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t="s">
        <v>74</v>
      </c>
      <c r="G912">
        <v>296</v>
      </c>
      <c r="H912" t="s">
        <v>21</v>
      </c>
      <c r="I912" t="s">
        <v>22</v>
      </c>
      <c r="J912">
        <v>1421906400</v>
      </c>
      <c r="K912">
        <v>1421992800</v>
      </c>
      <c r="L912" t="b">
        <v>0</v>
      </c>
      <c r="M912" t="b">
        <v>0</v>
      </c>
      <c r="N912" t="s">
        <v>33</v>
      </c>
      <c r="O912" s="4">
        <f t="shared" si="42"/>
        <v>5.113354294224723</v>
      </c>
      <c r="P912" t="str">
        <f t="shared" si="43"/>
        <v>theater</v>
      </c>
      <c r="Q912" t="str">
        <f t="shared" si="44"/>
        <v>plays</v>
      </c>
    </row>
    <row r="913" spans="1:17" x14ac:dyDescent="0.3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t="s">
        <v>20</v>
      </c>
      <c r="G913">
        <v>462</v>
      </c>
      <c r="H913" t="s">
        <v>21</v>
      </c>
      <c r="I913" t="s">
        <v>22</v>
      </c>
      <c r="J913">
        <v>1568005200</v>
      </c>
      <c r="K913">
        <v>1568178000</v>
      </c>
      <c r="L913" t="b">
        <v>1</v>
      </c>
      <c r="M913" t="b">
        <v>0</v>
      </c>
      <c r="N913" t="s">
        <v>28</v>
      </c>
      <c r="O913" s="4">
        <f t="shared" si="42"/>
        <v>0.50264320998353407</v>
      </c>
      <c r="P913" t="str">
        <f t="shared" si="43"/>
        <v>technology</v>
      </c>
      <c r="Q913" t="str">
        <f t="shared" si="44"/>
        <v>web</v>
      </c>
    </row>
    <row r="914" spans="1:17" x14ac:dyDescent="0.3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t="s">
        <v>20</v>
      </c>
      <c r="G914">
        <v>179</v>
      </c>
      <c r="H914" t="s">
        <v>21</v>
      </c>
      <c r="I914" t="s">
        <v>22</v>
      </c>
      <c r="J914">
        <v>1346821200</v>
      </c>
      <c r="K914">
        <v>1347944400</v>
      </c>
      <c r="L914" t="b">
        <v>1</v>
      </c>
      <c r="M914" t="b">
        <v>0</v>
      </c>
      <c r="N914" t="s">
        <v>53</v>
      </c>
      <c r="O914" s="4">
        <f t="shared" si="42"/>
        <v>0.12578616352201258</v>
      </c>
      <c r="P914" t="str">
        <f t="shared" si="43"/>
        <v>film &amp; video</v>
      </c>
      <c r="Q914" t="str">
        <f t="shared" si="44"/>
        <v>drama</v>
      </c>
    </row>
    <row r="915" spans="1:17" x14ac:dyDescent="0.3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t="s">
        <v>14</v>
      </c>
      <c r="G915">
        <v>523</v>
      </c>
      <c r="H915" t="s">
        <v>26</v>
      </c>
      <c r="I915" t="s">
        <v>27</v>
      </c>
      <c r="J915">
        <v>1557637200</v>
      </c>
      <c r="K915">
        <v>1558760400</v>
      </c>
      <c r="L915" t="b">
        <v>0</v>
      </c>
      <c r="M915" t="b">
        <v>0</v>
      </c>
      <c r="N915" t="s">
        <v>53</v>
      </c>
      <c r="O915" s="4">
        <f t="shared" si="42"/>
        <v>1.9754615038271048</v>
      </c>
      <c r="P915" t="str">
        <f t="shared" si="43"/>
        <v>film &amp; video</v>
      </c>
      <c r="Q915" t="str">
        <f t="shared" si="44"/>
        <v>drama</v>
      </c>
    </row>
    <row r="916" spans="1:17" x14ac:dyDescent="0.3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t="s">
        <v>14</v>
      </c>
      <c r="G916">
        <v>141</v>
      </c>
      <c r="H916" t="s">
        <v>40</v>
      </c>
      <c r="I916" t="s">
        <v>41</v>
      </c>
      <c r="J916">
        <v>1375592400</v>
      </c>
      <c r="K916">
        <v>1376629200</v>
      </c>
      <c r="L916" t="b">
        <v>0</v>
      </c>
      <c r="M916" t="b">
        <v>0</v>
      </c>
      <c r="N916" t="s">
        <v>33</v>
      </c>
      <c r="O916" s="4">
        <f t="shared" si="42"/>
        <v>1.7410228509249184</v>
      </c>
      <c r="P916" t="str">
        <f t="shared" si="43"/>
        <v>theater</v>
      </c>
      <c r="Q916" t="str">
        <f t="shared" si="44"/>
        <v>plays</v>
      </c>
    </row>
    <row r="917" spans="1:17" ht="31.2" x14ac:dyDescent="0.3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t="s">
        <v>20</v>
      </c>
      <c r="G917">
        <v>1866</v>
      </c>
      <c r="H917" t="s">
        <v>40</v>
      </c>
      <c r="I917" t="s">
        <v>41</v>
      </c>
      <c r="J917">
        <v>1503982800</v>
      </c>
      <c r="K917">
        <v>1504760400</v>
      </c>
      <c r="L917" t="b">
        <v>0</v>
      </c>
      <c r="M917" t="b">
        <v>0</v>
      </c>
      <c r="N917" t="s">
        <v>269</v>
      </c>
      <c r="O917" s="4">
        <f t="shared" si="42"/>
        <v>0.64255675322554306</v>
      </c>
      <c r="P917" t="str">
        <f t="shared" si="43"/>
        <v>film &amp; video</v>
      </c>
      <c r="Q917" t="str">
        <f t="shared" si="44"/>
        <v>television</v>
      </c>
    </row>
    <row r="918" spans="1:17" ht="31.2" x14ac:dyDescent="0.3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t="s">
        <v>14</v>
      </c>
      <c r="G918">
        <v>52</v>
      </c>
      <c r="H918" t="s">
        <v>21</v>
      </c>
      <c r="I918" t="s">
        <v>22</v>
      </c>
      <c r="J918">
        <v>1418882400</v>
      </c>
      <c r="K918">
        <v>1419660000</v>
      </c>
      <c r="L918" t="b">
        <v>0</v>
      </c>
      <c r="M918" t="b">
        <v>0</v>
      </c>
      <c r="N918" t="s">
        <v>122</v>
      </c>
      <c r="O918" s="4">
        <f t="shared" si="42"/>
        <v>2.7550260610573343</v>
      </c>
      <c r="P918" t="str">
        <f t="shared" si="43"/>
        <v>photography</v>
      </c>
      <c r="Q918" t="str">
        <f t="shared" si="44"/>
        <v>photography books</v>
      </c>
    </row>
    <row r="919" spans="1:17" x14ac:dyDescent="0.3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t="s">
        <v>47</v>
      </c>
      <c r="G919">
        <v>27</v>
      </c>
      <c r="H919" t="s">
        <v>40</v>
      </c>
      <c r="I919" t="s">
        <v>41</v>
      </c>
      <c r="J919">
        <v>1309237200</v>
      </c>
      <c r="K919">
        <v>1311310800</v>
      </c>
      <c r="L919" t="b">
        <v>0</v>
      </c>
      <c r="M919" t="b">
        <v>1</v>
      </c>
      <c r="N919" t="s">
        <v>100</v>
      </c>
      <c r="O919" s="4">
        <f t="shared" si="42"/>
        <v>1.7167381974248928</v>
      </c>
      <c r="P919" t="str">
        <f t="shared" si="43"/>
        <v>film &amp; video</v>
      </c>
      <c r="Q919" t="str">
        <f t="shared" si="44"/>
        <v>shorts</v>
      </c>
    </row>
    <row r="920" spans="1:17" x14ac:dyDescent="0.3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t="s">
        <v>20</v>
      </c>
      <c r="G920">
        <v>156</v>
      </c>
      <c r="H920" t="s">
        <v>98</v>
      </c>
      <c r="I920" t="s">
        <v>99</v>
      </c>
      <c r="J920">
        <v>1343365200</v>
      </c>
      <c r="K920">
        <v>1344315600</v>
      </c>
      <c r="L920" t="b">
        <v>0</v>
      </c>
      <c r="M920" t="b">
        <v>0</v>
      </c>
      <c r="N920" t="s">
        <v>133</v>
      </c>
      <c r="O920" s="4">
        <f t="shared" si="42"/>
        <v>0.42123933045116951</v>
      </c>
      <c r="P920" t="str">
        <f t="shared" si="43"/>
        <v>publishing</v>
      </c>
      <c r="Q920" t="str">
        <f t="shared" si="44"/>
        <v>radio &amp; podcasts</v>
      </c>
    </row>
    <row r="921" spans="1:17" x14ac:dyDescent="0.3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t="s">
        <v>14</v>
      </c>
      <c r="G921">
        <v>225</v>
      </c>
      <c r="H921" t="s">
        <v>26</v>
      </c>
      <c r="I921" t="s">
        <v>27</v>
      </c>
      <c r="J921">
        <v>1507957200</v>
      </c>
      <c r="K921">
        <v>1510725600</v>
      </c>
      <c r="L921" t="b">
        <v>0</v>
      </c>
      <c r="M921" t="b">
        <v>1</v>
      </c>
      <c r="N921" t="s">
        <v>33</v>
      </c>
      <c r="O921" s="4">
        <f t="shared" si="42"/>
        <v>1.7021276595744681</v>
      </c>
      <c r="P921" t="str">
        <f t="shared" si="43"/>
        <v>theater</v>
      </c>
      <c r="Q921" t="str">
        <f t="shared" si="44"/>
        <v>plays</v>
      </c>
    </row>
    <row r="922" spans="1:17" x14ac:dyDescent="0.3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t="s">
        <v>20</v>
      </c>
      <c r="G922">
        <v>255</v>
      </c>
      <c r="H922" t="s">
        <v>21</v>
      </c>
      <c r="I922" t="s">
        <v>22</v>
      </c>
      <c r="J922">
        <v>1549519200</v>
      </c>
      <c r="K922">
        <v>1551247200</v>
      </c>
      <c r="L922" t="b">
        <v>1</v>
      </c>
      <c r="M922" t="b">
        <v>0</v>
      </c>
      <c r="N922" t="s">
        <v>71</v>
      </c>
      <c r="O922" s="4">
        <f t="shared" si="42"/>
        <v>0.54774700289375777</v>
      </c>
      <c r="P922" t="str">
        <f t="shared" si="43"/>
        <v>film &amp; video</v>
      </c>
      <c r="Q922" t="str">
        <f t="shared" si="44"/>
        <v>animation</v>
      </c>
    </row>
    <row r="923" spans="1:17" x14ac:dyDescent="0.3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t="s">
        <v>14</v>
      </c>
      <c r="G923">
        <v>38</v>
      </c>
      <c r="H923" t="s">
        <v>21</v>
      </c>
      <c r="I923" t="s">
        <v>22</v>
      </c>
      <c r="J923">
        <v>1329026400</v>
      </c>
      <c r="K923">
        <v>1330236000</v>
      </c>
      <c r="L923" t="b">
        <v>0</v>
      </c>
      <c r="M923" t="b">
        <v>0</v>
      </c>
      <c r="N923" t="s">
        <v>28</v>
      </c>
      <c r="O923" s="4">
        <f t="shared" si="42"/>
        <v>132.56198347107437</v>
      </c>
      <c r="P923" t="str">
        <f t="shared" si="43"/>
        <v>technology</v>
      </c>
      <c r="Q923" t="str">
        <f t="shared" si="44"/>
        <v>web</v>
      </c>
    </row>
    <row r="924" spans="1:17" x14ac:dyDescent="0.3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t="s">
        <v>20</v>
      </c>
      <c r="G924">
        <v>2261</v>
      </c>
      <c r="H924" t="s">
        <v>21</v>
      </c>
      <c r="I924" t="s">
        <v>22</v>
      </c>
      <c r="J924">
        <v>1544335200</v>
      </c>
      <c r="K924">
        <v>1545112800</v>
      </c>
      <c r="L924" t="b">
        <v>0</v>
      </c>
      <c r="M924" t="b">
        <v>1</v>
      </c>
      <c r="N924" t="s">
        <v>319</v>
      </c>
      <c r="O924" s="4">
        <f t="shared" si="42"/>
        <v>0.56833259619637333</v>
      </c>
      <c r="P924" t="str">
        <f t="shared" si="43"/>
        <v>music</v>
      </c>
      <c r="Q924" t="str">
        <f t="shared" si="44"/>
        <v>world music</v>
      </c>
    </row>
    <row r="925" spans="1:17" x14ac:dyDescent="0.3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t="s">
        <v>20</v>
      </c>
      <c r="G925">
        <v>40</v>
      </c>
      <c r="H925" t="s">
        <v>21</v>
      </c>
      <c r="I925" t="s">
        <v>22</v>
      </c>
      <c r="J925">
        <v>1279083600</v>
      </c>
      <c r="K925">
        <v>1279170000</v>
      </c>
      <c r="L925" t="b">
        <v>0</v>
      </c>
      <c r="M925" t="b">
        <v>0</v>
      </c>
      <c r="N925" t="s">
        <v>33</v>
      </c>
      <c r="O925" s="4">
        <f t="shared" si="42"/>
        <v>0.42037586547972305</v>
      </c>
      <c r="P925" t="str">
        <f t="shared" si="43"/>
        <v>theater</v>
      </c>
      <c r="Q925" t="str">
        <f t="shared" si="44"/>
        <v>plays</v>
      </c>
    </row>
    <row r="926" spans="1:17" x14ac:dyDescent="0.3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t="s">
        <v>20</v>
      </c>
      <c r="G926">
        <v>2289</v>
      </c>
      <c r="H926" t="s">
        <v>107</v>
      </c>
      <c r="I926" t="s">
        <v>108</v>
      </c>
      <c r="J926">
        <v>1572498000</v>
      </c>
      <c r="K926">
        <v>1573452000</v>
      </c>
      <c r="L926" t="b">
        <v>0</v>
      </c>
      <c r="M926" t="b">
        <v>0</v>
      </c>
      <c r="N926" t="s">
        <v>33</v>
      </c>
      <c r="O926" s="4">
        <f t="shared" si="42"/>
        <v>0.20489671957231709</v>
      </c>
      <c r="P926" t="str">
        <f t="shared" si="43"/>
        <v>theater</v>
      </c>
      <c r="Q926" t="str">
        <f t="shared" si="44"/>
        <v>plays</v>
      </c>
    </row>
    <row r="927" spans="1:17" ht="31.2" x14ac:dyDescent="0.3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t="s">
        <v>20</v>
      </c>
      <c r="G927">
        <v>65</v>
      </c>
      <c r="H927" t="s">
        <v>21</v>
      </c>
      <c r="I927" t="s">
        <v>22</v>
      </c>
      <c r="J927">
        <v>1506056400</v>
      </c>
      <c r="K927">
        <v>1507093200</v>
      </c>
      <c r="L927" t="b">
        <v>0</v>
      </c>
      <c r="M927" t="b">
        <v>0</v>
      </c>
      <c r="N927" t="s">
        <v>33</v>
      </c>
      <c r="O927" s="4">
        <f t="shared" si="42"/>
        <v>0.44629574531389465</v>
      </c>
      <c r="P927" t="str">
        <f t="shared" si="43"/>
        <v>theater</v>
      </c>
      <c r="Q927" t="str">
        <f t="shared" si="44"/>
        <v>plays</v>
      </c>
    </row>
    <row r="928" spans="1:17" x14ac:dyDescent="0.3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t="s">
        <v>14</v>
      </c>
      <c r="G928">
        <v>15</v>
      </c>
      <c r="H928" t="s">
        <v>21</v>
      </c>
      <c r="I928" t="s">
        <v>22</v>
      </c>
      <c r="J928">
        <v>1463029200</v>
      </c>
      <c r="K928">
        <v>1463374800</v>
      </c>
      <c r="L928" t="b">
        <v>0</v>
      </c>
      <c r="M928" t="b">
        <v>0</v>
      </c>
      <c r="N928" t="s">
        <v>17</v>
      </c>
      <c r="O928" s="4">
        <f t="shared" si="42"/>
        <v>5.516804058338618</v>
      </c>
      <c r="P928" t="str">
        <f t="shared" si="43"/>
        <v>food</v>
      </c>
      <c r="Q928" t="str">
        <f t="shared" si="44"/>
        <v>food trucks</v>
      </c>
    </row>
    <row r="929" spans="1:17" x14ac:dyDescent="0.3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t="s">
        <v>14</v>
      </c>
      <c r="G929">
        <v>37</v>
      </c>
      <c r="H929" t="s">
        <v>21</v>
      </c>
      <c r="I929" t="s">
        <v>22</v>
      </c>
      <c r="J929">
        <v>1342069200</v>
      </c>
      <c r="K929">
        <v>1344574800</v>
      </c>
      <c r="L929" t="b">
        <v>0</v>
      </c>
      <c r="M929" t="b">
        <v>0</v>
      </c>
      <c r="N929" t="s">
        <v>33</v>
      </c>
      <c r="O929" s="4">
        <f t="shared" si="42"/>
        <v>2.1811572250833082</v>
      </c>
      <c r="P929" t="str">
        <f t="shared" si="43"/>
        <v>theater</v>
      </c>
      <c r="Q929" t="str">
        <f t="shared" si="44"/>
        <v>plays</v>
      </c>
    </row>
    <row r="930" spans="1:17" x14ac:dyDescent="0.3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t="s">
        <v>20</v>
      </c>
      <c r="G930">
        <v>3777</v>
      </c>
      <c r="H930" t="s">
        <v>107</v>
      </c>
      <c r="I930" t="s">
        <v>108</v>
      </c>
      <c r="J930">
        <v>1388296800</v>
      </c>
      <c r="K930">
        <v>1389074400</v>
      </c>
      <c r="L930" t="b">
        <v>0</v>
      </c>
      <c r="M930" t="b">
        <v>0</v>
      </c>
      <c r="N930" t="s">
        <v>28</v>
      </c>
      <c r="O930" s="4">
        <f t="shared" si="42"/>
        <v>0.85240292077846691</v>
      </c>
      <c r="P930" t="str">
        <f t="shared" si="43"/>
        <v>technology</v>
      </c>
      <c r="Q930" t="str">
        <f t="shared" si="44"/>
        <v>web</v>
      </c>
    </row>
    <row r="931" spans="1:17" x14ac:dyDescent="0.3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t="s">
        <v>20</v>
      </c>
      <c r="G931">
        <v>184</v>
      </c>
      <c r="H931" t="s">
        <v>40</v>
      </c>
      <c r="I931" t="s">
        <v>41</v>
      </c>
      <c r="J931">
        <v>1493787600</v>
      </c>
      <c r="K931">
        <v>1494997200</v>
      </c>
      <c r="L931" t="b">
        <v>0</v>
      </c>
      <c r="M931" t="b">
        <v>0</v>
      </c>
      <c r="N931" t="s">
        <v>33</v>
      </c>
      <c r="O931" s="4">
        <f t="shared" si="42"/>
        <v>0.46017402945113789</v>
      </c>
      <c r="P931" t="str">
        <f t="shared" si="43"/>
        <v>theater</v>
      </c>
      <c r="Q931" t="str">
        <f t="shared" si="44"/>
        <v>plays</v>
      </c>
    </row>
    <row r="932" spans="1:17" x14ac:dyDescent="0.3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t="s">
        <v>20</v>
      </c>
      <c r="G932">
        <v>85</v>
      </c>
      <c r="H932" t="s">
        <v>21</v>
      </c>
      <c r="I932" t="s">
        <v>22</v>
      </c>
      <c r="J932">
        <v>1424844000</v>
      </c>
      <c r="K932">
        <v>1425448800</v>
      </c>
      <c r="L932" t="b">
        <v>0</v>
      </c>
      <c r="M932" t="b">
        <v>1</v>
      </c>
      <c r="N932" t="s">
        <v>33</v>
      </c>
      <c r="O932" s="4">
        <f t="shared" si="42"/>
        <v>0.89058524173027986</v>
      </c>
      <c r="P932" t="str">
        <f t="shared" si="43"/>
        <v>theater</v>
      </c>
      <c r="Q932" t="str">
        <f t="shared" si="44"/>
        <v>plays</v>
      </c>
    </row>
    <row r="933" spans="1:17" x14ac:dyDescent="0.3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t="s">
        <v>14</v>
      </c>
      <c r="G933">
        <v>112</v>
      </c>
      <c r="H933" t="s">
        <v>21</v>
      </c>
      <c r="I933" t="s">
        <v>22</v>
      </c>
      <c r="J933">
        <v>1403931600</v>
      </c>
      <c r="K933">
        <v>1404104400</v>
      </c>
      <c r="L933" t="b">
        <v>0</v>
      </c>
      <c r="M933" t="b">
        <v>1</v>
      </c>
      <c r="N933" t="s">
        <v>33</v>
      </c>
      <c r="O933" s="4">
        <f t="shared" si="42"/>
        <v>1.3789492057950776</v>
      </c>
      <c r="P933" t="str">
        <f t="shared" si="43"/>
        <v>theater</v>
      </c>
      <c r="Q933" t="str">
        <f t="shared" si="44"/>
        <v>plays</v>
      </c>
    </row>
    <row r="934" spans="1:17" x14ac:dyDescent="0.3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t="s">
        <v>20</v>
      </c>
      <c r="G934">
        <v>144</v>
      </c>
      <c r="H934" t="s">
        <v>21</v>
      </c>
      <c r="I934" t="s">
        <v>22</v>
      </c>
      <c r="J934">
        <v>1394514000</v>
      </c>
      <c r="K934">
        <v>1394773200</v>
      </c>
      <c r="L934" t="b">
        <v>0</v>
      </c>
      <c r="M934" t="b">
        <v>0</v>
      </c>
      <c r="N934" t="s">
        <v>23</v>
      </c>
      <c r="O934" s="4">
        <f t="shared" si="42"/>
        <v>0.4710219127585501</v>
      </c>
      <c r="P934" t="str">
        <f t="shared" si="43"/>
        <v>music</v>
      </c>
      <c r="Q934" t="str">
        <f t="shared" si="44"/>
        <v>rock</v>
      </c>
    </row>
    <row r="935" spans="1:17" x14ac:dyDescent="0.3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t="s">
        <v>20</v>
      </c>
      <c r="G935">
        <v>1902</v>
      </c>
      <c r="H935" t="s">
        <v>21</v>
      </c>
      <c r="I935" t="s">
        <v>22</v>
      </c>
      <c r="J935">
        <v>1365397200</v>
      </c>
      <c r="K935">
        <v>1366520400</v>
      </c>
      <c r="L935" t="b">
        <v>0</v>
      </c>
      <c r="M935" t="b">
        <v>0</v>
      </c>
      <c r="N935" t="s">
        <v>33</v>
      </c>
      <c r="O935" s="4">
        <f t="shared" si="42"/>
        <v>0.41710710510527671</v>
      </c>
      <c r="P935" t="str">
        <f t="shared" si="43"/>
        <v>theater</v>
      </c>
      <c r="Q935" t="str">
        <f t="shared" si="44"/>
        <v>plays</v>
      </c>
    </row>
    <row r="936" spans="1:17" x14ac:dyDescent="0.3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t="s">
        <v>20</v>
      </c>
      <c r="G936">
        <v>105</v>
      </c>
      <c r="H936" t="s">
        <v>21</v>
      </c>
      <c r="I936" t="s">
        <v>22</v>
      </c>
      <c r="J936">
        <v>1456120800</v>
      </c>
      <c r="K936">
        <v>1456639200</v>
      </c>
      <c r="L936" t="b">
        <v>0</v>
      </c>
      <c r="M936" t="b">
        <v>0</v>
      </c>
      <c r="N936" t="s">
        <v>33</v>
      </c>
      <c r="O936" s="4">
        <f t="shared" si="42"/>
        <v>0.54964539007092195</v>
      </c>
      <c r="P936" t="str">
        <f t="shared" si="43"/>
        <v>theater</v>
      </c>
      <c r="Q936" t="str">
        <f t="shared" si="44"/>
        <v>plays</v>
      </c>
    </row>
    <row r="937" spans="1:17" ht="31.2" x14ac:dyDescent="0.3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t="s">
        <v>20</v>
      </c>
      <c r="G937">
        <v>132</v>
      </c>
      <c r="H937" t="s">
        <v>21</v>
      </c>
      <c r="I937" t="s">
        <v>22</v>
      </c>
      <c r="J937">
        <v>1437714000</v>
      </c>
      <c r="K937">
        <v>1438318800</v>
      </c>
      <c r="L937" t="b">
        <v>0</v>
      </c>
      <c r="M937" t="b">
        <v>0</v>
      </c>
      <c r="N937" t="s">
        <v>33</v>
      </c>
      <c r="O937" s="4">
        <f t="shared" si="42"/>
        <v>0.60926887734718338</v>
      </c>
      <c r="P937" t="str">
        <f t="shared" si="43"/>
        <v>theater</v>
      </c>
      <c r="Q937" t="str">
        <f t="shared" si="44"/>
        <v>plays</v>
      </c>
    </row>
    <row r="938" spans="1:17" x14ac:dyDescent="0.3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t="s">
        <v>14</v>
      </c>
      <c r="G938">
        <v>21</v>
      </c>
      <c r="H938" t="s">
        <v>21</v>
      </c>
      <c r="I938" t="s">
        <v>22</v>
      </c>
      <c r="J938">
        <v>1563771600</v>
      </c>
      <c r="K938">
        <v>1564030800</v>
      </c>
      <c r="L938" t="b">
        <v>1</v>
      </c>
      <c r="M938" t="b">
        <v>0</v>
      </c>
      <c r="N938" t="s">
        <v>33</v>
      </c>
      <c r="O938" s="4">
        <f t="shared" si="42"/>
        <v>61.065088757396452</v>
      </c>
      <c r="P938" t="str">
        <f t="shared" si="43"/>
        <v>theater</v>
      </c>
      <c r="Q938" t="str">
        <f t="shared" si="44"/>
        <v>plays</v>
      </c>
    </row>
    <row r="939" spans="1:17" x14ac:dyDescent="0.3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t="s">
        <v>74</v>
      </c>
      <c r="G939">
        <v>976</v>
      </c>
      <c r="H939" t="s">
        <v>21</v>
      </c>
      <c r="I939" t="s">
        <v>22</v>
      </c>
      <c r="J939">
        <v>1448517600</v>
      </c>
      <c r="K939">
        <v>1449295200</v>
      </c>
      <c r="L939" t="b">
        <v>0</v>
      </c>
      <c r="M939" t="b">
        <v>0</v>
      </c>
      <c r="N939" t="s">
        <v>42</v>
      </c>
      <c r="O939" s="4">
        <f t="shared" si="42"/>
        <v>2.0143478107219845</v>
      </c>
      <c r="P939" t="str">
        <f t="shared" si="43"/>
        <v>film &amp; video</v>
      </c>
      <c r="Q939" t="str">
        <f t="shared" si="44"/>
        <v>documentary</v>
      </c>
    </row>
    <row r="940" spans="1:17" x14ac:dyDescent="0.3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t="s">
        <v>20</v>
      </c>
      <c r="G940">
        <v>96</v>
      </c>
      <c r="H940" t="s">
        <v>21</v>
      </c>
      <c r="I940" t="s">
        <v>22</v>
      </c>
      <c r="J940">
        <v>1528779600</v>
      </c>
      <c r="K940">
        <v>1531890000</v>
      </c>
      <c r="L940" t="b">
        <v>0</v>
      </c>
      <c r="M940" t="b">
        <v>1</v>
      </c>
      <c r="N940" t="s">
        <v>119</v>
      </c>
      <c r="O940" s="4">
        <f t="shared" si="42"/>
        <v>0.9115228376102249</v>
      </c>
      <c r="P940" t="str">
        <f t="shared" si="43"/>
        <v>publishing</v>
      </c>
      <c r="Q940" t="str">
        <f t="shared" si="44"/>
        <v>fiction</v>
      </c>
    </row>
    <row r="941" spans="1:17" ht="31.2" x14ac:dyDescent="0.3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t="s">
        <v>14</v>
      </c>
      <c r="G941">
        <v>67</v>
      </c>
      <c r="H941" t="s">
        <v>21</v>
      </c>
      <c r="I941" t="s">
        <v>22</v>
      </c>
      <c r="J941">
        <v>1304744400</v>
      </c>
      <c r="K941">
        <v>1306213200</v>
      </c>
      <c r="L941" t="b">
        <v>0</v>
      </c>
      <c r="M941" t="b">
        <v>1</v>
      </c>
      <c r="N941" t="s">
        <v>89</v>
      </c>
      <c r="O941" s="4">
        <f t="shared" si="42"/>
        <v>2.031779109143006</v>
      </c>
      <c r="P941" t="str">
        <f t="shared" si="43"/>
        <v>games</v>
      </c>
      <c r="Q941" t="str">
        <f t="shared" si="44"/>
        <v>video games</v>
      </c>
    </row>
    <row r="942" spans="1:17" x14ac:dyDescent="0.3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t="s">
        <v>47</v>
      </c>
      <c r="G942">
        <v>66</v>
      </c>
      <c r="H942" t="s">
        <v>15</v>
      </c>
      <c r="I942" t="s">
        <v>16</v>
      </c>
      <c r="J942">
        <v>1354341600</v>
      </c>
      <c r="K942">
        <v>1356242400</v>
      </c>
      <c r="L942" t="b">
        <v>0</v>
      </c>
      <c r="M942" t="b">
        <v>0</v>
      </c>
      <c r="N942" t="s">
        <v>28</v>
      </c>
      <c r="O942" s="4">
        <f t="shared" si="42"/>
        <v>1.6068819996753774</v>
      </c>
      <c r="P942" t="str">
        <f t="shared" si="43"/>
        <v>technology</v>
      </c>
      <c r="Q942" t="str">
        <f t="shared" si="44"/>
        <v>web</v>
      </c>
    </row>
    <row r="943" spans="1:17" x14ac:dyDescent="0.3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t="s">
        <v>14</v>
      </c>
      <c r="G943">
        <v>78</v>
      </c>
      <c r="H943" t="s">
        <v>21</v>
      </c>
      <c r="I943" t="s">
        <v>22</v>
      </c>
      <c r="J943">
        <v>1294552800</v>
      </c>
      <c r="K943">
        <v>1297576800</v>
      </c>
      <c r="L943" t="b">
        <v>1</v>
      </c>
      <c r="M943" t="b">
        <v>0</v>
      </c>
      <c r="N943" t="s">
        <v>33</v>
      </c>
      <c r="O943" s="4">
        <f t="shared" si="42"/>
        <v>7.6580587711487089</v>
      </c>
      <c r="P943" t="str">
        <f t="shared" si="43"/>
        <v>theater</v>
      </c>
      <c r="Q943" t="str">
        <f t="shared" si="44"/>
        <v>plays</v>
      </c>
    </row>
    <row r="944" spans="1:17" x14ac:dyDescent="0.3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t="s">
        <v>14</v>
      </c>
      <c r="G944">
        <v>67</v>
      </c>
      <c r="H944" t="s">
        <v>26</v>
      </c>
      <c r="I944" t="s">
        <v>27</v>
      </c>
      <c r="J944">
        <v>1295935200</v>
      </c>
      <c r="K944">
        <v>1296194400</v>
      </c>
      <c r="L944" t="b">
        <v>0</v>
      </c>
      <c r="M944" t="b">
        <v>0</v>
      </c>
      <c r="N944" t="s">
        <v>33</v>
      </c>
      <c r="O944" s="4">
        <f t="shared" si="42"/>
        <v>1.5471394037066881</v>
      </c>
      <c r="P944" t="str">
        <f t="shared" si="43"/>
        <v>theater</v>
      </c>
      <c r="Q944" t="str">
        <f t="shared" si="44"/>
        <v>plays</v>
      </c>
    </row>
    <row r="945" spans="1:17" x14ac:dyDescent="0.3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t="s">
        <v>20</v>
      </c>
      <c r="G945">
        <v>114</v>
      </c>
      <c r="H945" t="s">
        <v>21</v>
      </c>
      <c r="I945" t="s">
        <v>22</v>
      </c>
      <c r="J945">
        <v>1411534800</v>
      </c>
      <c r="K945">
        <v>1414558800</v>
      </c>
      <c r="L945" t="b">
        <v>0</v>
      </c>
      <c r="M945" t="b">
        <v>0</v>
      </c>
      <c r="N945" t="s">
        <v>17</v>
      </c>
      <c r="O945" s="4">
        <f t="shared" si="42"/>
        <v>0.62661876514328685</v>
      </c>
      <c r="P945" t="str">
        <f t="shared" si="43"/>
        <v>food</v>
      </c>
      <c r="Q945" t="str">
        <f t="shared" si="44"/>
        <v>food trucks</v>
      </c>
    </row>
    <row r="946" spans="1:17" x14ac:dyDescent="0.3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t="s">
        <v>14</v>
      </c>
      <c r="G946">
        <v>263</v>
      </c>
      <c r="H946" t="s">
        <v>26</v>
      </c>
      <c r="I946" t="s">
        <v>27</v>
      </c>
      <c r="J946">
        <v>1486706400</v>
      </c>
      <c r="K946">
        <v>1488348000</v>
      </c>
      <c r="L946" t="b">
        <v>0</v>
      </c>
      <c r="M946" t="b">
        <v>0</v>
      </c>
      <c r="N946" t="s">
        <v>122</v>
      </c>
      <c r="O946" s="4">
        <f t="shared" si="42"/>
        <v>1.2281994595922379</v>
      </c>
      <c r="P946" t="str">
        <f t="shared" si="43"/>
        <v>photography</v>
      </c>
      <c r="Q946" t="str">
        <f t="shared" si="44"/>
        <v>photography books</v>
      </c>
    </row>
    <row r="947" spans="1:17" x14ac:dyDescent="0.3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t="s">
        <v>14</v>
      </c>
      <c r="G947">
        <v>1691</v>
      </c>
      <c r="H947" t="s">
        <v>21</v>
      </c>
      <c r="I947" t="s">
        <v>22</v>
      </c>
      <c r="J947">
        <v>1333602000</v>
      </c>
      <c r="K947">
        <v>1334898000</v>
      </c>
      <c r="L947" t="b">
        <v>1</v>
      </c>
      <c r="M947" t="b">
        <v>0</v>
      </c>
      <c r="N947" t="s">
        <v>122</v>
      </c>
      <c r="O947" s="4">
        <f t="shared" si="42"/>
        <v>3.0821610966759252</v>
      </c>
      <c r="P947" t="str">
        <f t="shared" si="43"/>
        <v>photography</v>
      </c>
      <c r="Q947" t="str">
        <f t="shared" si="44"/>
        <v>photography books</v>
      </c>
    </row>
    <row r="948" spans="1:17" ht="31.2" x14ac:dyDescent="0.3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t="s">
        <v>14</v>
      </c>
      <c r="G948">
        <v>181</v>
      </c>
      <c r="H948" t="s">
        <v>21</v>
      </c>
      <c r="I948" t="s">
        <v>22</v>
      </c>
      <c r="J948">
        <v>1308200400</v>
      </c>
      <c r="K948">
        <v>1308373200</v>
      </c>
      <c r="L948" t="b">
        <v>0</v>
      </c>
      <c r="M948" t="b">
        <v>0</v>
      </c>
      <c r="N948" t="s">
        <v>33</v>
      </c>
      <c r="O948" s="4">
        <f t="shared" si="42"/>
        <v>10.086625541409633</v>
      </c>
      <c r="P948" t="str">
        <f t="shared" si="43"/>
        <v>theater</v>
      </c>
      <c r="Q948" t="str">
        <f t="shared" si="44"/>
        <v>plays</v>
      </c>
    </row>
    <row r="949" spans="1:17" x14ac:dyDescent="0.3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t="s">
        <v>14</v>
      </c>
      <c r="G949">
        <v>13</v>
      </c>
      <c r="H949" t="s">
        <v>21</v>
      </c>
      <c r="I949" t="s">
        <v>22</v>
      </c>
      <c r="J949">
        <v>1411707600</v>
      </c>
      <c r="K949">
        <v>1412312400</v>
      </c>
      <c r="L949" t="b">
        <v>0</v>
      </c>
      <c r="M949" t="b">
        <v>0</v>
      </c>
      <c r="N949" t="s">
        <v>33</v>
      </c>
      <c r="O949" s="4">
        <f t="shared" si="42"/>
        <v>3.7460978147762747</v>
      </c>
      <c r="P949" t="str">
        <f t="shared" si="43"/>
        <v>theater</v>
      </c>
      <c r="Q949" t="str">
        <f t="shared" si="44"/>
        <v>plays</v>
      </c>
    </row>
    <row r="950" spans="1:17" x14ac:dyDescent="0.3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t="s">
        <v>74</v>
      </c>
      <c r="G950">
        <v>160</v>
      </c>
      <c r="H950" t="s">
        <v>21</v>
      </c>
      <c r="I950" t="s">
        <v>22</v>
      </c>
      <c r="J950">
        <v>1418364000</v>
      </c>
      <c r="K950">
        <v>1419228000</v>
      </c>
      <c r="L950" t="b">
        <v>1</v>
      </c>
      <c r="M950" t="b">
        <v>1</v>
      </c>
      <c r="N950" t="s">
        <v>42</v>
      </c>
      <c r="O950" s="4">
        <f t="shared" si="42"/>
        <v>1.5883744508279825</v>
      </c>
      <c r="P950" t="str">
        <f t="shared" si="43"/>
        <v>film &amp; video</v>
      </c>
      <c r="Q950" t="str">
        <f t="shared" si="44"/>
        <v>documentary</v>
      </c>
    </row>
    <row r="951" spans="1:17" ht="31.2" x14ac:dyDescent="0.3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t="s">
        <v>20</v>
      </c>
      <c r="G951">
        <v>203</v>
      </c>
      <c r="H951" t="s">
        <v>21</v>
      </c>
      <c r="I951" t="s">
        <v>22</v>
      </c>
      <c r="J951">
        <v>1429333200</v>
      </c>
      <c r="K951">
        <v>1430974800</v>
      </c>
      <c r="L951" t="b">
        <v>0</v>
      </c>
      <c r="M951" t="b">
        <v>0</v>
      </c>
      <c r="N951" t="s">
        <v>28</v>
      </c>
      <c r="O951" s="4">
        <f t="shared" si="42"/>
        <v>0.61974789915966388</v>
      </c>
      <c r="P951" t="str">
        <f t="shared" si="43"/>
        <v>technology</v>
      </c>
      <c r="Q951" t="str">
        <f t="shared" si="44"/>
        <v>web</v>
      </c>
    </row>
    <row r="952" spans="1:17" ht="31.2" x14ac:dyDescent="0.3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t="s">
        <v>14</v>
      </c>
      <c r="G952">
        <v>1</v>
      </c>
      <c r="H952" t="s">
        <v>21</v>
      </c>
      <c r="I952" t="s">
        <v>22</v>
      </c>
      <c r="J952">
        <v>1555390800</v>
      </c>
      <c r="K952">
        <v>1555822800</v>
      </c>
      <c r="L952" t="b">
        <v>0</v>
      </c>
      <c r="M952" t="b">
        <v>1</v>
      </c>
      <c r="N952" t="s">
        <v>33</v>
      </c>
      <c r="O952" s="4">
        <f t="shared" si="42"/>
        <v>20</v>
      </c>
      <c r="P952" t="str">
        <f t="shared" si="43"/>
        <v>theater</v>
      </c>
      <c r="Q952" t="str">
        <f t="shared" si="44"/>
        <v>plays</v>
      </c>
    </row>
    <row r="953" spans="1:17" x14ac:dyDescent="0.3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t="s">
        <v>20</v>
      </c>
      <c r="G953">
        <v>1559</v>
      </c>
      <c r="H953" t="s">
        <v>21</v>
      </c>
      <c r="I953" t="s">
        <v>22</v>
      </c>
      <c r="J953">
        <v>1482732000</v>
      </c>
      <c r="K953">
        <v>1482818400</v>
      </c>
      <c r="L953" t="b">
        <v>0</v>
      </c>
      <c r="M953" t="b">
        <v>1</v>
      </c>
      <c r="N953" t="s">
        <v>23</v>
      </c>
      <c r="O953" s="4">
        <f t="shared" si="42"/>
        <v>9.1162860879187207E-2</v>
      </c>
      <c r="P953" t="str">
        <f t="shared" si="43"/>
        <v>music</v>
      </c>
      <c r="Q953" t="str">
        <f t="shared" si="44"/>
        <v>rock</v>
      </c>
    </row>
    <row r="954" spans="1:17" x14ac:dyDescent="0.3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t="s">
        <v>74</v>
      </c>
      <c r="G954">
        <v>2266</v>
      </c>
      <c r="H954" t="s">
        <v>21</v>
      </c>
      <c r="I954" t="s">
        <v>22</v>
      </c>
      <c r="J954">
        <v>1470718800</v>
      </c>
      <c r="K954">
        <v>1471928400</v>
      </c>
      <c r="L954" t="b">
        <v>0</v>
      </c>
      <c r="M954" t="b">
        <v>0</v>
      </c>
      <c r="N954" t="s">
        <v>42</v>
      </c>
      <c r="O954" s="4">
        <f t="shared" si="42"/>
        <v>1.4266524164844538</v>
      </c>
      <c r="P954" t="str">
        <f t="shared" si="43"/>
        <v>film &amp; video</v>
      </c>
      <c r="Q954" t="str">
        <f t="shared" si="44"/>
        <v>documentary</v>
      </c>
    </row>
    <row r="955" spans="1:17" ht="31.2" x14ac:dyDescent="0.3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t="s">
        <v>14</v>
      </c>
      <c r="G955">
        <v>21</v>
      </c>
      <c r="H955" t="s">
        <v>21</v>
      </c>
      <c r="I955" t="s">
        <v>22</v>
      </c>
      <c r="J955">
        <v>1450591200</v>
      </c>
      <c r="K955">
        <v>1453701600</v>
      </c>
      <c r="L955" t="b">
        <v>0</v>
      </c>
      <c r="M955" t="b">
        <v>1</v>
      </c>
      <c r="N955" t="s">
        <v>474</v>
      </c>
      <c r="O955" s="4">
        <f t="shared" si="42"/>
        <v>1.6666666666666667</v>
      </c>
      <c r="P955" t="str">
        <f t="shared" si="43"/>
        <v>film &amp; video</v>
      </c>
      <c r="Q955" t="str">
        <f t="shared" si="44"/>
        <v>science fiction</v>
      </c>
    </row>
    <row r="956" spans="1:17" x14ac:dyDescent="0.3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t="s">
        <v>20</v>
      </c>
      <c r="G956">
        <v>1548</v>
      </c>
      <c r="H956" t="s">
        <v>26</v>
      </c>
      <c r="I956" t="s">
        <v>27</v>
      </c>
      <c r="J956">
        <v>1348290000</v>
      </c>
      <c r="K956">
        <v>1350363600</v>
      </c>
      <c r="L956" t="b">
        <v>0</v>
      </c>
      <c r="M956" t="b">
        <v>0</v>
      </c>
      <c r="N956" t="s">
        <v>28</v>
      </c>
      <c r="O956" s="4">
        <f t="shared" si="42"/>
        <v>0.27240638428483732</v>
      </c>
      <c r="P956" t="str">
        <f t="shared" si="43"/>
        <v>technology</v>
      </c>
      <c r="Q956" t="str">
        <f t="shared" si="44"/>
        <v>web</v>
      </c>
    </row>
    <row r="957" spans="1:17" ht="31.2" x14ac:dyDescent="0.3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t="s">
        <v>20</v>
      </c>
      <c r="G957">
        <v>80</v>
      </c>
      <c r="H957" t="s">
        <v>21</v>
      </c>
      <c r="I957" t="s">
        <v>22</v>
      </c>
      <c r="J957">
        <v>1353823200</v>
      </c>
      <c r="K957">
        <v>1353996000</v>
      </c>
      <c r="L957" t="b">
        <v>0</v>
      </c>
      <c r="M957" t="b">
        <v>0</v>
      </c>
      <c r="N957" t="s">
        <v>33</v>
      </c>
      <c r="O957" s="4">
        <f t="shared" si="42"/>
        <v>9.0171325518485126E-2</v>
      </c>
      <c r="P957" t="str">
        <f t="shared" si="43"/>
        <v>theater</v>
      </c>
      <c r="Q957" t="str">
        <f t="shared" si="44"/>
        <v>plays</v>
      </c>
    </row>
    <row r="958" spans="1:17" x14ac:dyDescent="0.3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t="s">
        <v>14</v>
      </c>
      <c r="G958">
        <v>830</v>
      </c>
      <c r="H958" t="s">
        <v>21</v>
      </c>
      <c r="I958" t="s">
        <v>22</v>
      </c>
      <c r="J958">
        <v>1450764000</v>
      </c>
      <c r="K958">
        <v>1451109600</v>
      </c>
      <c r="L958" t="b">
        <v>0</v>
      </c>
      <c r="M958" t="b">
        <v>0</v>
      </c>
      <c r="N958" t="s">
        <v>474</v>
      </c>
      <c r="O958" s="4">
        <f t="shared" si="42"/>
        <v>5.2551963695445121</v>
      </c>
      <c r="P958" t="str">
        <f t="shared" si="43"/>
        <v>film &amp; video</v>
      </c>
      <c r="Q958" t="str">
        <f t="shared" si="44"/>
        <v>science fiction</v>
      </c>
    </row>
    <row r="959" spans="1:17" x14ac:dyDescent="0.3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t="s">
        <v>20</v>
      </c>
      <c r="G959">
        <v>131</v>
      </c>
      <c r="H959" t="s">
        <v>21</v>
      </c>
      <c r="I959" t="s">
        <v>22</v>
      </c>
      <c r="J959">
        <v>1329372000</v>
      </c>
      <c r="K959">
        <v>1329631200</v>
      </c>
      <c r="L959" t="b">
        <v>0</v>
      </c>
      <c r="M959" t="b">
        <v>0</v>
      </c>
      <c r="N959" t="s">
        <v>33</v>
      </c>
      <c r="O959" s="4">
        <f t="shared" si="42"/>
        <v>0.7881614926813576</v>
      </c>
      <c r="P959" t="str">
        <f t="shared" si="43"/>
        <v>theater</v>
      </c>
      <c r="Q959" t="str">
        <f t="shared" si="44"/>
        <v>plays</v>
      </c>
    </row>
    <row r="960" spans="1:17" ht="31.2" x14ac:dyDescent="0.3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t="s">
        <v>20</v>
      </c>
      <c r="G960">
        <v>112</v>
      </c>
      <c r="H960" t="s">
        <v>21</v>
      </c>
      <c r="I960" t="s">
        <v>22</v>
      </c>
      <c r="J960">
        <v>1277096400</v>
      </c>
      <c r="K960">
        <v>1278997200</v>
      </c>
      <c r="L960" t="b">
        <v>0</v>
      </c>
      <c r="M960" t="b">
        <v>0</v>
      </c>
      <c r="N960" t="s">
        <v>71</v>
      </c>
      <c r="O960" s="4">
        <f t="shared" si="42"/>
        <v>0.13612176710803117</v>
      </c>
      <c r="P960" t="str">
        <f t="shared" si="43"/>
        <v>film &amp; video</v>
      </c>
      <c r="Q960" t="str">
        <f t="shared" si="44"/>
        <v>animation</v>
      </c>
    </row>
    <row r="961" spans="1:17" x14ac:dyDescent="0.3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t="s">
        <v>14</v>
      </c>
      <c r="G961">
        <v>130</v>
      </c>
      <c r="H961" t="s">
        <v>21</v>
      </c>
      <c r="I961" t="s">
        <v>22</v>
      </c>
      <c r="J961">
        <v>1277701200</v>
      </c>
      <c r="K961">
        <v>1280120400</v>
      </c>
      <c r="L961" t="b">
        <v>0</v>
      </c>
      <c r="M961" t="b">
        <v>0</v>
      </c>
      <c r="N961" t="s">
        <v>206</v>
      </c>
      <c r="O961" s="4">
        <f t="shared" si="42"/>
        <v>21.866988387875132</v>
      </c>
      <c r="P961" t="str">
        <f t="shared" si="43"/>
        <v>publishing</v>
      </c>
      <c r="Q961" t="str">
        <f t="shared" si="44"/>
        <v>translations</v>
      </c>
    </row>
    <row r="962" spans="1:17" x14ac:dyDescent="0.3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t="s">
        <v>14</v>
      </c>
      <c r="G962">
        <v>55</v>
      </c>
      <c r="H962" t="s">
        <v>21</v>
      </c>
      <c r="I962" t="s">
        <v>22</v>
      </c>
      <c r="J962">
        <v>1454911200</v>
      </c>
      <c r="K962">
        <v>1458104400</v>
      </c>
      <c r="L962" t="b">
        <v>0</v>
      </c>
      <c r="M962" t="b">
        <v>0</v>
      </c>
      <c r="N962" t="s">
        <v>28</v>
      </c>
      <c r="O962" s="4">
        <f t="shared" si="42"/>
        <v>1.1757161179991449</v>
      </c>
      <c r="P962" t="str">
        <f t="shared" si="43"/>
        <v>technology</v>
      </c>
      <c r="Q962" t="str">
        <f t="shared" si="44"/>
        <v>web</v>
      </c>
    </row>
    <row r="963" spans="1:17" ht="31.2" x14ac:dyDescent="0.3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t="s">
        <v>20</v>
      </c>
      <c r="G963">
        <v>155</v>
      </c>
      <c r="H963" t="s">
        <v>21</v>
      </c>
      <c r="I963" t="s">
        <v>22</v>
      </c>
      <c r="J963">
        <v>1297922400</v>
      </c>
      <c r="K963">
        <v>1298268000</v>
      </c>
      <c r="L963" t="b">
        <v>0</v>
      </c>
      <c r="M963" t="b">
        <v>0</v>
      </c>
      <c r="N963" t="s">
        <v>206</v>
      </c>
      <c r="O963" s="4">
        <f t="shared" ref="O963:O1001" si="45">D963/E963</f>
        <v>0.83823529411764708</v>
      </c>
      <c r="P963" t="str">
        <f t="shared" ref="P963:P1001" si="46">LEFT(N963,SEARCH("/",N963) -1)</f>
        <v>publishing</v>
      </c>
      <c r="Q963" t="str">
        <f t="shared" ref="Q963:Q1001" si="47">RIGHT(N963,LEN(N963)-SEARCH("/",N963))</f>
        <v>translations</v>
      </c>
    </row>
    <row r="964" spans="1:17" x14ac:dyDescent="0.3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t="s">
        <v>20</v>
      </c>
      <c r="G964">
        <v>266</v>
      </c>
      <c r="H964" t="s">
        <v>21</v>
      </c>
      <c r="I964" t="s">
        <v>22</v>
      </c>
      <c r="J964">
        <v>1384408800</v>
      </c>
      <c r="K964">
        <v>1386223200</v>
      </c>
      <c r="L964" t="b">
        <v>0</v>
      </c>
      <c r="M964" t="b">
        <v>0</v>
      </c>
      <c r="N964" t="s">
        <v>17</v>
      </c>
      <c r="O964" s="4">
        <f t="shared" si="45"/>
        <v>0.33780613681148541</v>
      </c>
      <c r="P964" t="str">
        <f t="shared" si="46"/>
        <v>food</v>
      </c>
      <c r="Q964" t="str">
        <f t="shared" si="47"/>
        <v>food trucks</v>
      </c>
    </row>
    <row r="965" spans="1:17" x14ac:dyDescent="0.3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t="s">
        <v>14</v>
      </c>
      <c r="G965">
        <v>114</v>
      </c>
      <c r="H965" t="s">
        <v>107</v>
      </c>
      <c r="I965" t="s">
        <v>108</v>
      </c>
      <c r="J965">
        <v>1299304800</v>
      </c>
      <c r="K965">
        <v>1299823200</v>
      </c>
      <c r="L965" t="b">
        <v>0</v>
      </c>
      <c r="M965" t="b">
        <v>1</v>
      </c>
      <c r="N965" t="s">
        <v>122</v>
      </c>
      <c r="O965" s="4">
        <f t="shared" si="45"/>
        <v>1.180708425055033</v>
      </c>
      <c r="P965" t="str">
        <f t="shared" si="46"/>
        <v>photography</v>
      </c>
      <c r="Q965" t="str">
        <f t="shared" si="47"/>
        <v>photography books</v>
      </c>
    </row>
    <row r="966" spans="1:17" x14ac:dyDescent="0.3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t="s">
        <v>20</v>
      </c>
      <c r="G966">
        <v>155</v>
      </c>
      <c r="H966" t="s">
        <v>21</v>
      </c>
      <c r="I966" t="s">
        <v>22</v>
      </c>
      <c r="J966">
        <v>1431320400</v>
      </c>
      <c r="K966">
        <v>1431752400</v>
      </c>
      <c r="L966" t="b">
        <v>0</v>
      </c>
      <c r="M966" t="b">
        <v>0</v>
      </c>
      <c r="N966" t="s">
        <v>33</v>
      </c>
      <c r="O966" s="4">
        <f t="shared" si="45"/>
        <v>0.2810695837131571</v>
      </c>
      <c r="P966" t="str">
        <f t="shared" si="46"/>
        <v>theater</v>
      </c>
      <c r="Q966" t="str">
        <f t="shared" si="47"/>
        <v>plays</v>
      </c>
    </row>
    <row r="967" spans="1:17" x14ac:dyDescent="0.3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t="s">
        <v>20</v>
      </c>
      <c r="G967">
        <v>207</v>
      </c>
      <c r="H967" t="s">
        <v>40</v>
      </c>
      <c r="I967" t="s">
        <v>41</v>
      </c>
      <c r="J967">
        <v>1264399200</v>
      </c>
      <c r="K967">
        <v>1267855200</v>
      </c>
      <c r="L967" t="b">
        <v>0</v>
      </c>
      <c r="M967" t="b">
        <v>0</v>
      </c>
      <c r="N967" t="s">
        <v>23</v>
      </c>
      <c r="O967" s="4">
        <f t="shared" si="45"/>
        <v>0.25879308316668626</v>
      </c>
      <c r="P967" t="str">
        <f t="shared" si="46"/>
        <v>music</v>
      </c>
      <c r="Q967" t="str">
        <f t="shared" si="47"/>
        <v>rock</v>
      </c>
    </row>
    <row r="968" spans="1:17" x14ac:dyDescent="0.3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t="s">
        <v>20</v>
      </c>
      <c r="G968">
        <v>245</v>
      </c>
      <c r="H968" t="s">
        <v>21</v>
      </c>
      <c r="I968" t="s">
        <v>22</v>
      </c>
      <c r="J968">
        <v>1497502800</v>
      </c>
      <c r="K968">
        <v>1497675600</v>
      </c>
      <c r="L968" t="b">
        <v>0</v>
      </c>
      <c r="M968" t="b">
        <v>0</v>
      </c>
      <c r="N968" t="s">
        <v>33</v>
      </c>
      <c r="O968" s="4">
        <f t="shared" si="45"/>
        <v>0.12622512622512622</v>
      </c>
      <c r="P968" t="str">
        <f t="shared" si="46"/>
        <v>theater</v>
      </c>
      <c r="Q968" t="str">
        <f t="shared" si="47"/>
        <v>plays</v>
      </c>
    </row>
    <row r="969" spans="1:17" x14ac:dyDescent="0.3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t="s">
        <v>20</v>
      </c>
      <c r="G969">
        <v>1573</v>
      </c>
      <c r="H969" t="s">
        <v>21</v>
      </c>
      <c r="I969" t="s">
        <v>22</v>
      </c>
      <c r="J969">
        <v>1333688400</v>
      </c>
      <c r="K969">
        <v>1336885200</v>
      </c>
      <c r="L969" t="b">
        <v>0</v>
      </c>
      <c r="M969" t="b">
        <v>0</v>
      </c>
      <c r="N969" t="s">
        <v>319</v>
      </c>
      <c r="O969" s="4">
        <f t="shared" si="45"/>
        <v>0.72974623982565334</v>
      </c>
      <c r="P969" t="str">
        <f t="shared" si="46"/>
        <v>music</v>
      </c>
      <c r="Q969" t="str">
        <f t="shared" si="47"/>
        <v>world music</v>
      </c>
    </row>
    <row r="970" spans="1:17" ht="31.2" x14ac:dyDescent="0.3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t="s">
        <v>20</v>
      </c>
      <c r="G970">
        <v>114</v>
      </c>
      <c r="H970" t="s">
        <v>21</v>
      </c>
      <c r="I970" t="s">
        <v>22</v>
      </c>
      <c r="J970">
        <v>1293861600</v>
      </c>
      <c r="K970">
        <v>1295157600</v>
      </c>
      <c r="L970" t="b">
        <v>0</v>
      </c>
      <c r="M970" t="b">
        <v>0</v>
      </c>
      <c r="N970" t="s">
        <v>17</v>
      </c>
      <c r="O970" s="4">
        <f t="shared" si="45"/>
        <v>0.29567574226931131</v>
      </c>
      <c r="P970" t="str">
        <f t="shared" si="46"/>
        <v>food</v>
      </c>
      <c r="Q970" t="str">
        <f t="shared" si="47"/>
        <v>food trucks</v>
      </c>
    </row>
    <row r="971" spans="1:17" x14ac:dyDescent="0.3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t="s">
        <v>20</v>
      </c>
      <c r="G971">
        <v>93</v>
      </c>
      <c r="H971" t="s">
        <v>21</v>
      </c>
      <c r="I971" t="s">
        <v>22</v>
      </c>
      <c r="J971">
        <v>1576994400</v>
      </c>
      <c r="K971">
        <v>1577599200</v>
      </c>
      <c r="L971" t="b">
        <v>0</v>
      </c>
      <c r="M971" t="b">
        <v>0</v>
      </c>
      <c r="N971" t="s">
        <v>33</v>
      </c>
      <c r="O971" s="4">
        <f t="shared" si="45"/>
        <v>0.92397660818713445</v>
      </c>
      <c r="P971" t="str">
        <f t="shared" si="46"/>
        <v>theater</v>
      </c>
      <c r="Q971" t="str">
        <f t="shared" si="47"/>
        <v>plays</v>
      </c>
    </row>
    <row r="972" spans="1:17" ht="31.2" x14ac:dyDescent="0.3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t="s">
        <v>14</v>
      </c>
      <c r="G972">
        <v>594</v>
      </c>
      <c r="H972" t="s">
        <v>21</v>
      </c>
      <c r="I972" t="s">
        <v>22</v>
      </c>
      <c r="J972">
        <v>1304917200</v>
      </c>
      <c r="K972">
        <v>1305003600</v>
      </c>
      <c r="L972" t="b">
        <v>0</v>
      </c>
      <c r="M972" t="b">
        <v>0</v>
      </c>
      <c r="N972" t="s">
        <v>33</v>
      </c>
      <c r="O972" s="4">
        <f t="shared" si="45"/>
        <v>1.6458835567734438</v>
      </c>
      <c r="P972" t="str">
        <f t="shared" si="46"/>
        <v>theater</v>
      </c>
      <c r="Q972" t="str">
        <f t="shared" si="47"/>
        <v>plays</v>
      </c>
    </row>
    <row r="973" spans="1:17" x14ac:dyDescent="0.3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t="s">
        <v>14</v>
      </c>
      <c r="G973">
        <v>24</v>
      </c>
      <c r="H973" t="s">
        <v>21</v>
      </c>
      <c r="I973" t="s">
        <v>22</v>
      </c>
      <c r="J973">
        <v>1381208400</v>
      </c>
      <c r="K973">
        <v>1381726800</v>
      </c>
      <c r="L973" t="b">
        <v>0</v>
      </c>
      <c r="M973" t="b">
        <v>0</v>
      </c>
      <c r="N973" t="s">
        <v>269</v>
      </c>
      <c r="O973" s="4">
        <f t="shared" si="45"/>
        <v>3.6067892503536068</v>
      </c>
      <c r="P973" t="str">
        <f t="shared" si="46"/>
        <v>film &amp; video</v>
      </c>
      <c r="Q973" t="str">
        <f t="shared" si="47"/>
        <v>television</v>
      </c>
    </row>
    <row r="974" spans="1:17" ht="31.2" x14ac:dyDescent="0.3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t="s">
        <v>20</v>
      </c>
      <c r="G974">
        <v>1681</v>
      </c>
      <c r="H974" t="s">
        <v>21</v>
      </c>
      <c r="I974" t="s">
        <v>22</v>
      </c>
      <c r="J974">
        <v>1401685200</v>
      </c>
      <c r="K974">
        <v>1402462800</v>
      </c>
      <c r="L974" t="b">
        <v>0</v>
      </c>
      <c r="M974" t="b">
        <v>1</v>
      </c>
      <c r="N974" t="s">
        <v>28</v>
      </c>
      <c r="O974" s="4">
        <f t="shared" si="45"/>
        <v>0.43784094171691074</v>
      </c>
      <c r="P974" t="str">
        <f t="shared" si="46"/>
        <v>technology</v>
      </c>
      <c r="Q974" t="str">
        <f t="shared" si="47"/>
        <v>web</v>
      </c>
    </row>
    <row r="975" spans="1:17" x14ac:dyDescent="0.3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t="s">
        <v>14</v>
      </c>
      <c r="G975">
        <v>252</v>
      </c>
      <c r="H975" t="s">
        <v>21</v>
      </c>
      <c r="I975" t="s">
        <v>22</v>
      </c>
      <c r="J975">
        <v>1291960800</v>
      </c>
      <c r="K975">
        <v>1292133600</v>
      </c>
      <c r="L975" t="b">
        <v>0</v>
      </c>
      <c r="M975" t="b">
        <v>1</v>
      </c>
      <c r="N975" t="s">
        <v>33</v>
      </c>
      <c r="O975" s="4">
        <f t="shared" si="45"/>
        <v>4.6263753056234718</v>
      </c>
      <c r="P975" t="str">
        <f t="shared" si="46"/>
        <v>theater</v>
      </c>
      <c r="Q975" t="str">
        <f t="shared" si="47"/>
        <v>plays</v>
      </c>
    </row>
    <row r="976" spans="1:17" x14ac:dyDescent="0.3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t="s">
        <v>20</v>
      </c>
      <c r="G976">
        <v>32</v>
      </c>
      <c r="H976" t="s">
        <v>21</v>
      </c>
      <c r="I976" t="s">
        <v>22</v>
      </c>
      <c r="J976">
        <v>1368853200</v>
      </c>
      <c r="K976">
        <v>1368939600</v>
      </c>
      <c r="L976" t="b">
        <v>0</v>
      </c>
      <c r="M976" t="b">
        <v>0</v>
      </c>
      <c r="N976" t="s">
        <v>60</v>
      </c>
      <c r="O976" s="4">
        <f t="shared" si="45"/>
        <v>0.26746907388833169</v>
      </c>
      <c r="P976" t="str">
        <f t="shared" si="46"/>
        <v>music</v>
      </c>
      <c r="Q976" t="str">
        <f t="shared" si="47"/>
        <v>indie rock</v>
      </c>
    </row>
    <row r="977" spans="1:17" x14ac:dyDescent="0.3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t="s">
        <v>20</v>
      </c>
      <c r="G977">
        <v>135</v>
      </c>
      <c r="H977" t="s">
        <v>21</v>
      </c>
      <c r="I977" t="s">
        <v>22</v>
      </c>
      <c r="J977">
        <v>1448776800</v>
      </c>
      <c r="K977">
        <v>1452146400</v>
      </c>
      <c r="L977" t="b">
        <v>0</v>
      </c>
      <c r="M977" t="b">
        <v>1</v>
      </c>
      <c r="N977" t="s">
        <v>33</v>
      </c>
      <c r="O977" s="4">
        <f t="shared" si="45"/>
        <v>0.64546975854649769</v>
      </c>
      <c r="P977" t="str">
        <f t="shared" si="46"/>
        <v>theater</v>
      </c>
      <c r="Q977" t="str">
        <f t="shared" si="47"/>
        <v>plays</v>
      </c>
    </row>
    <row r="978" spans="1:17" ht="31.2" x14ac:dyDescent="0.3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t="s">
        <v>20</v>
      </c>
      <c r="G978">
        <v>140</v>
      </c>
      <c r="H978" t="s">
        <v>21</v>
      </c>
      <c r="I978" t="s">
        <v>22</v>
      </c>
      <c r="J978">
        <v>1296194400</v>
      </c>
      <c r="K978">
        <v>1296712800</v>
      </c>
      <c r="L978" t="b">
        <v>0</v>
      </c>
      <c r="M978" t="b">
        <v>1</v>
      </c>
      <c r="N978" t="s">
        <v>33</v>
      </c>
      <c r="O978" s="4">
        <f t="shared" si="45"/>
        <v>0.31041440322830982</v>
      </c>
      <c r="P978" t="str">
        <f t="shared" si="46"/>
        <v>theater</v>
      </c>
      <c r="Q978" t="str">
        <f t="shared" si="47"/>
        <v>plays</v>
      </c>
    </row>
    <row r="979" spans="1:17" x14ac:dyDescent="0.3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t="s">
        <v>14</v>
      </c>
      <c r="G979">
        <v>67</v>
      </c>
      <c r="H979" t="s">
        <v>21</v>
      </c>
      <c r="I979" t="s">
        <v>22</v>
      </c>
      <c r="J979">
        <v>1517983200</v>
      </c>
      <c r="K979">
        <v>1520748000</v>
      </c>
      <c r="L979" t="b">
        <v>0</v>
      </c>
      <c r="M979" t="b">
        <v>0</v>
      </c>
      <c r="N979" t="s">
        <v>17</v>
      </c>
      <c r="O979" s="4">
        <f t="shared" si="45"/>
        <v>1.3521344407958278</v>
      </c>
      <c r="P979" t="str">
        <f t="shared" si="46"/>
        <v>food</v>
      </c>
      <c r="Q979" t="str">
        <f t="shared" si="47"/>
        <v>food trucks</v>
      </c>
    </row>
    <row r="980" spans="1:17" x14ac:dyDescent="0.3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t="s">
        <v>20</v>
      </c>
      <c r="G980">
        <v>92</v>
      </c>
      <c r="H980" t="s">
        <v>21</v>
      </c>
      <c r="I980" t="s">
        <v>22</v>
      </c>
      <c r="J980">
        <v>1478930400</v>
      </c>
      <c r="K980">
        <v>1480831200</v>
      </c>
      <c r="L980" t="b">
        <v>0</v>
      </c>
      <c r="M980" t="b">
        <v>0</v>
      </c>
      <c r="N980" t="s">
        <v>89</v>
      </c>
      <c r="O980" s="4">
        <f t="shared" si="45"/>
        <v>0.11572734637194769</v>
      </c>
      <c r="P980" t="str">
        <f t="shared" si="46"/>
        <v>games</v>
      </c>
      <c r="Q980" t="str">
        <f t="shared" si="47"/>
        <v>video games</v>
      </c>
    </row>
    <row r="981" spans="1:17" x14ac:dyDescent="0.3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t="s">
        <v>20</v>
      </c>
      <c r="G981">
        <v>1015</v>
      </c>
      <c r="H981" t="s">
        <v>40</v>
      </c>
      <c r="I981" t="s">
        <v>41</v>
      </c>
      <c r="J981">
        <v>1426395600</v>
      </c>
      <c r="K981">
        <v>1426914000</v>
      </c>
      <c r="L981" t="b">
        <v>0</v>
      </c>
      <c r="M981" t="b">
        <v>0</v>
      </c>
      <c r="N981" t="s">
        <v>33</v>
      </c>
      <c r="O981" s="4">
        <f t="shared" si="45"/>
        <v>0.69801957237604939</v>
      </c>
      <c r="P981" t="str">
        <f t="shared" si="46"/>
        <v>theater</v>
      </c>
      <c r="Q981" t="str">
        <f t="shared" si="47"/>
        <v>plays</v>
      </c>
    </row>
    <row r="982" spans="1:17" x14ac:dyDescent="0.3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t="s">
        <v>14</v>
      </c>
      <c r="G982">
        <v>742</v>
      </c>
      <c r="H982" t="s">
        <v>21</v>
      </c>
      <c r="I982" t="s">
        <v>22</v>
      </c>
      <c r="J982">
        <v>1446181200</v>
      </c>
      <c r="K982">
        <v>1446616800</v>
      </c>
      <c r="L982" t="b">
        <v>1</v>
      </c>
      <c r="M982" t="b">
        <v>0</v>
      </c>
      <c r="N982" t="s">
        <v>68</v>
      </c>
      <c r="O982" s="4">
        <f t="shared" si="45"/>
        <v>2.482513035736996</v>
      </c>
      <c r="P982" t="str">
        <f t="shared" si="46"/>
        <v>publishing</v>
      </c>
      <c r="Q982" t="str">
        <f t="shared" si="47"/>
        <v>nonfiction</v>
      </c>
    </row>
    <row r="983" spans="1:17" x14ac:dyDescent="0.3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t="s">
        <v>20</v>
      </c>
      <c r="G983">
        <v>323</v>
      </c>
      <c r="H983" t="s">
        <v>21</v>
      </c>
      <c r="I983" t="s">
        <v>22</v>
      </c>
      <c r="J983">
        <v>1514181600</v>
      </c>
      <c r="K983">
        <v>1517032800</v>
      </c>
      <c r="L983" t="b">
        <v>0</v>
      </c>
      <c r="M983" t="b">
        <v>0</v>
      </c>
      <c r="N983" t="s">
        <v>28</v>
      </c>
      <c r="O983" s="4">
        <f t="shared" si="45"/>
        <v>0.56109203584289424</v>
      </c>
      <c r="P983" t="str">
        <f t="shared" si="46"/>
        <v>technology</v>
      </c>
      <c r="Q983" t="str">
        <f t="shared" si="47"/>
        <v>web</v>
      </c>
    </row>
    <row r="984" spans="1:17" x14ac:dyDescent="0.3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t="s">
        <v>14</v>
      </c>
      <c r="G984">
        <v>75</v>
      </c>
      <c r="H984" t="s">
        <v>21</v>
      </c>
      <c r="I984" t="s">
        <v>22</v>
      </c>
      <c r="J984">
        <v>1311051600</v>
      </c>
      <c r="K984">
        <v>1311224400</v>
      </c>
      <c r="L984" t="b">
        <v>0</v>
      </c>
      <c r="M984" t="b">
        <v>1</v>
      </c>
      <c r="N984" t="s">
        <v>42</v>
      </c>
      <c r="O984" s="4">
        <f t="shared" si="45"/>
        <v>1.1774325429272281</v>
      </c>
      <c r="P984" t="str">
        <f t="shared" si="46"/>
        <v>film &amp; video</v>
      </c>
      <c r="Q984" t="str">
        <f t="shared" si="47"/>
        <v>documentary</v>
      </c>
    </row>
    <row r="985" spans="1:17" x14ac:dyDescent="0.3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t="s">
        <v>20</v>
      </c>
      <c r="G985">
        <v>2326</v>
      </c>
      <c r="H985" t="s">
        <v>21</v>
      </c>
      <c r="I985" t="s">
        <v>22</v>
      </c>
      <c r="J985">
        <v>1564894800</v>
      </c>
      <c r="K985">
        <v>1566190800</v>
      </c>
      <c r="L985" t="b">
        <v>0</v>
      </c>
      <c r="M985" t="b">
        <v>0</v>
      </c>
      <c r="N985" t="s">
        <v>42</v>
      </c>
      <c r="O985" s="4">
        <f t="shared" si="45"/>
        <v>0.68522961295938511</v>
      </c>
      <c r="P985" t="str">
        <f t="shared" si="46"/>
        <v>film &amp; video</v>
      </c>
      <c r="Q985" t="str">
        <f t="shared" si="47"/>
        <v>documentary</v>
      </c>
    </row>
    <row r="986" spans="1:17" ht="31.2" x14ac:dyDescent="0.3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t="s">
        <v>20</v>
      </c>
      <c r="G986">
        <v>381</v>
      </c>
      <c r="H986" t="s">
        <v>21</v>
      </c>
      <c r="I986" t="s">
        <v>22</v>
      </c>
      <c r="J986">
        <v>1567918800</v>
      </c>
      <c r="K986">
        <v>1570165200</v>
      </c>
      <c r="L986" t="b">
        <v>0</v>
      </c>
      <c r="M986" t="b">
        <v>0</v>
      </c>
      <c r="N986" t="s">
        <v>33</v>
      </c>
      <c r="O986" s="4">
        <f t="shared" si="45"/>
        <v>0.65590312815338048</v>
      </c>
      <c r="P986" t="str">
        <f t="shared" si="46"/>
        <v>theater</v>
      </c>
      <c r="Q986" t="str">
        <f t="shared" si="47"/>
        <v>plays</v>
      </c>
    </row>
    <row r="987" spans="1:17" x14ac:dyDescent="0.3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t="s">
        <v>14</v>
      </c>
      <c r="G987">
        <v>4405</v>
      </c>
      <c r="H987" t="s">
        <v>21</v>
      </c>
      <c r="I987" t="s">
        <v>22</v>
      </c>
      <c r="J987">
        <v>1386309600</v>
      </c>
      <c r="K987">
        <v>1388556000</v>
      </c>
      <c r="L987" t="b">
        <v>0</v>
      </c>
      <c r="M987" t="b">
        <v>1</v>
      </c>
      <c r="N987" t="s">
        <v>23</v>
      </c>
      <c r="O987" s="4">
        <f t="shared" si="45"/>
        <v>1.4896570994472726</v>
      </c>
      <c r="P987" t="str">
        <f t="shared" si="46"/>
        <v>music</v>
      </c>
      <c r="Q987" t="str">
        <f t="shared" si="47"/>
        <v>rock</v>
      </c>
    </row>
    <row r="988" spans="1:17" ht="31.2" x14ac:dyDescent="0.3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t="s">
        <v>14</v>
      </c>
      <c r="G988">
        <v>92</v>
      </c>
      <c r="H988" t="s">
        <v>21</v>
      </c>
      <c r="I988" t="s">
        <v>22</v>
      </c>
      <c r="J988">
        <v>1301979600</v>
      </c>
      <c r="K988">
        <v>1303189200</v>
      </c>
      <c r="L988" t="b">
        <v>0</v>
      </c>
      <c r="M988" t="b">
        <v>0</v>
      </c>
      <c r="N988" t="s">
        <v>23</v>
      </c>
      <c r="O988" s="4">
        <f t="shared" si="45"/>
        <v>2.4809160305343512</v>
      </c>
      <c r="P988" t="str">
        <f t="shared" si="46"/>
        <v>music</v>
      </c>
      <c r="Q988" t="str">
        <f t="shared" si="47"/>
        <v>rock</v>
      </c>
    </row>
    <row r="989" spans="1:17" x14ac:dyDescent="0.3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t="s">
        <v>20</v>
      </c>
      <c r="G989">
        <v>480</v>
      </c>
      <c r="H989" t="s">
        <v>21</v>
      </c>
      <c r="I989" t="s">
        <v>22</v>
      </c>
      <c r="J989">
        <v>1493269200</v>
      </c>
      <c r="K989">
        <v>1494478800</v>
      </c>
      <c r="L989" t="b">
        <v>0</v>
      </c>
      <c r="M989" t="b">
        <v>0</v>
      </c>
      <c r="N989" t="s">
        <v>42</v>
      </c>
      <c r="O989" s="4">
        <f t="shared" si="45"/>
        <v>0.46127520273789152</v>
      </c>
      <c r="P989" t="str">
        <f t="shared" si="46"/>
        <v>film &amp; video</v>
      </c>
      <c r="Q989" t="str">
        <f t="shared" si="47"/>
        <v>documentary</v>
      </c>
    </row>
    <row r="990" spans="1:17" x14ac:dyDescent="0.3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t="s">
        <v>14</v>
      </c>
      <c r="G990">
        <v>64</v>
      </c>
      <c r="H990" t="s">
        <v>21</v>
      </c>
      <c r="I990" t="s">
        <v>22</v>
      </c>
      <c r="J990">
        <v>1478930400</v>
      </c>
      <c r="K990">
        <v>1480744800</v>
      </c>
      <c r="L990" t="b">
        <v>0</v>
      </c>
      <c r="M990" t="b">
        <v>0</v>
      </c>
      <c r="N990" t="s">
        <v>133</v>
      </c>
      <c r="O990" s="4">
        <f t="shared" si="45"/>
        <v>1.9187589303939578</v>
      </c>
      <c r="P990" t="str">
        <f t="shared" si="46"/>
        <v>publishing</v>
      </c>
      <c r="Q990" t="str">
        <f t="shared" si="47"/>
        <v>radio &amp; podcasts</v>
      </c>
    </row>
    <row r="991" spans="1:17" x14ac:dyDescent="0.3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t="s">
        <v>20</v>
      </c>
      <c r="G991">
        <v>226</v>
      </c>
      <c r="H991" t="s">
        <v>21</v>
      </c>
      <c r="I991" t="s">
        <v>22</v>
      </c>
      <c r="J991">
        <v>1555390800</v>
      </c>
      <c r="K991">
        <v>1555822800</v>
      </c>
      <c r="L991" t="b">
        <v>0</v>
      </c>
      <c r="M991" t="b">
        <v>0</v>
      </c>
      <c r="N991" t="s">
        <v>206</v>
      </c>
      <c r="O991" s="4">
        <f t="shared" si="45"/>
        <v>0.20016680567139283</v>
      </c>
      <c r="P991" t="str">
        <f t="shared" si="46"/>
        <v>publishing</v>
      </c>
      <c r="Q991" t="str">
        <f t="shared" si="47"/>
        <v>translations</v>
      </c>
    </row>
    <row r="992" spans="1:17" x14ac:dyDescent="0.3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t="s">
        <v>14</v>
      </c>
      <c r="G992">
        <v>64</v>
      </c>
      <c r="H992" t="s">
        <v>21</v>
      </c>
      <c r="I992" t="s">
        <v>22</v>
      </c>
      <c r="J992">
        <v>1456984800</v>
      </c>
      <c r="K992">
        <v>1458882000</v>
      </c>
      <c r="L992" t="b">
        <v>0</v>
      </c>
      <c r="M992" t="b">
        <v>1</v>
      </c>
      <c r="N992" t="s">
        <v>53</v>
      </c>
      <c r="O992" s="4">
        <f t="shared" si="45"/>
        <v>1.1405176195350197</v>
      </c>
      <c r="P992" t="str">
        <f t="shared" si="46"/>
        <v>film &amp; video</v>
      </c>
      <c r="Q992" t="str">
        <f t="shared" si="47"/>
        <v>drama</v>
      </c>
    </row>
    <row r="993" spans="1:23" x14ac:dyDescent="0.3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t="s">
        <v>20</v>
      </c>
      <c r="G993">
        <v>241</v>
      </c>
      <c r="H993" t="s">
        <v>21</v>
      </c>
      <c r="I993" t="s">
        <v>22</v>
      </c>
      <c r="J993">
        <v>1411621200</v>
      </c>
      <c r="K993">
        <v>1411966800</v>
      </c>
      <c r="L993" t="b">
        <v>0</v>
      </c>
      <c r="M993" t="b">
        <v>1</v>
      </c>
      <c r="N993" t="s">
        <v>23</v>
      </c>
      <c r="O993" s="4">
        <f t="shared" si="45"/>
        <v>0.88359931475971509</v>
      </c>
      <c r="P993" t="str">
        <f t="shared" si="46"/>
        <v>music</v>
      </c>
      <c r="Q993" t="str">
        <f t="shared" si="47"/>
        <v>rock</v>
      </c>
    </row>
    <row r="994" spans="1:23" x14ac:dyDescent="0.3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t="s">
        <v>20</v>
      </c>
      <c r="G994">
        <v>132</v>
      </c>
      <c r="H994" t="s">
        <v>21</v>
      </c>
      <c r="I994" t="s">
        <v>22</v>
      </c>
      <c r="J994">
        <v>1525669200</v>
      </c>
      <c r="K994">
        <v>1526878800</v>
      </c>
      <c r="L994" t="b">
        <v>0</v>
      </c>
      <c r="M994" t="b">
        <v>1</v>
      </c>
      <c r="N994" t="s">
        <v>53</v>
      </c>
      <c r="O994" s="4">
        <f t="shared" si="45"/>
        <v>0.23443999092490359</v>
      </c>
      <c r="P994" t="str">
        <f t="shared" si="46"/>
        <v>film &amp; video</v>
      </c>
      <c r="Q994" t="str">
        <f t="shared" si="47"/>
        <v>drama</v>
      </c>
    </row>
    <row r="995" spans="1:23" x14ac:dyDescent="0.3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t="s">
        <v>74</v>
      </c>
      <c r="G995">
        <v>75</v>
      </c>
      <c r="H995" t="s">
        <v>107</v>
      </c>
      <c r="I995" t="s">
        <v>108</v>
      </c>
      <c r="J995">
        <v>1450936800</v>
      </c>
      <c r="K995">
        <v>1452405600</v>
      </c>
      <c r="L995" t="b">
        <v>0</v>
      </c>
      <c r="M995" t="b">
        <v>1</v>
      </c>
      <c r="N995" t="s">
        <v>122</v>
      </c>
      <c r="O995" s="4">
        <f t="shared" si="45"/>
        <v>1.288117770767613</v>
      </c>
      <c r="P995" t="str">
        <f t="shared" si="46"/>
        <v>photography</v>
      </c>
      <c r="Q995" t="str">
        <f t="shared" si="47"/>
        <v>photography books</v>
      </c>
    </row>
    <row r="996" spans="1:23" x14ac:dyDescent="0.3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t="s">
        <v>14</v>
      </c>
      <c r="G996">
        <v>842</v>
      </c>
      <c r="H996" t="s">
        <v>21</v>
      </c>
      <c r="I996" t="s">
        <v>22</v>
      </c>
      <c r="J996">
        <v>1413522000</v>
      </c>
      <c r="K996">
        <v>1414040400</v>
      </c>
      <c r="L996" t="b">
        <v>0</v>
      </c>
      <c r="M996" t="b">
        <v>1</v>
      </c>
      <c r="N996" t="s">
        <v>206</v>
      </c>
      <c r="O996" s="4">
        <f t="shared" si="45"/>
        <v>1.9048776207255005</v>
      </c>
      <c r="P996" t="str">
        <f t="shared" si="46"/>
        <v>publishing</v>
      </c>
      <c r="Q996" t="str">
        <f t="shared" si="47"/>
        <v>translations</v>
      </c>
    </row>
    <row r="997" spans="1:23" x14ac:dyDescent="0.3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t="s">
        <v>20</v>
      </c>
      <c r="G997">
        <v>2043</v>
      </c>
      <c r="H997" t="s">
        <v>21</v>
      </c>
      <c r="I997" t="s">
        <v>22</v>
      </c>
      <c r="J997">
        <v>1541307600</v>
      </c>
      <c r="K997">
        <v>1543816800</v>
      </c>
      <c r="L997" t="b">
        <v>0</v>
      </c>
      <c r="M997" t="b">
        <v>1</v>
      </c>
      <c r="N997" t="s">
        <v>17</v>
      </c>
      <c r="O997" s="4">
        <f t="shared" si="45"/>
        <v>0.63505116959064323</v>
      </c>
      <c r="P997" t="str">
        <f t="shared" si="46"/>
        <v>food</v>
      </c>
      <c r="Q997" t="str">
        <f t="shared" si="47"/>
        <v>food trucks</v>
      </c>
    </row>
    <row r="998" spans="1:23" ht="31.2" x14ac:dyDescent="0.3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t="s">
        <v>14</v>
      </c>
      <c r="G998">
        <v>112</v>
      </c>
      <c r="H998" t="s">
        <v>21</v>
      </c>
      <c r="I998" t="s">
        <v>22</v>
      </c>
      <c r="J998">
        <v>1357106400</v>
      </c>
      <c r="K998">
        <v>1359698400</v>
      </c>
      <c r="L998" t="b">
        <v>0</v>
      </c>
      <c r="M998" t="b">
        <v>0</v>
      </c>
      <c r="N998" t="s">
        <v>33</v>
      </c>
      <c r="O998" s="4">
        <f t="shared" si="45"/>
        <v>1.3710012463647694</v>
      </c>
      <c r="P998" t="str">
        <f t="shared" si="46"/>
        <v>theater</v>
      </c>
      <c r="Q998" t="str">
        <f t="shared" si="47"/>
        <v>plays</v>
      </c>
      <c r="R998" s="5" t="s">
        <v>6</v>
      </c>
      <c r="S998" t="s">
        <v>2045</v>
      </c>
    </row>
    <row r="999" spans="1:23" x14ac:dyDescent="0.3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t="s">
        <v>74</v>
      </c>
      <c r="G999">
        <v>139</v>
      </c>
      <c r="H999" t="s">
        <v>107</v>
      </c>
      <c r="I999" t="s">
        <v>108</v>
      </c>
      <c r="J999">
        <v>1390197600</v>
      </c>
      <c r="K999">
        <v>1390629600</v>
      </c>
      <c r="L999" t="b">
        <v>0</v>
      </c>
      <c r="M999" t="b">
        <v>0</v>
      </c>
      <c r="N999" t="s">
        <v>33</v>
      </c>
      <c r="O999" s="4">
        <f t="shared" si="45"/>
        <v>1.6510971105800565</v>
      </c>
      <c r="P999" t="str">
        <f t="shared" si="46"/>
        <v>theater</v>
      </c>
      <c r="Q999" t="str">
        <f t="shared" si="47"/>
        <v>plays</v>
      </c>
    </row>
    <row r="1000" spans="1:23" x14ac:dyDescent="0.3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t="s">
        <v>14</v>
      </c>
      <c r="G1000">
        <v>374</v>
      </c>
      <c r="H1000" t="s">
        <v>21</v>
      </c>
      <c r="I1000" t="s">
        <v>22</v>
      </c>
      <c r="J1000">
        <v>1265868000</v>
      </c>
      <c r="K1000">
        <v>1267077600</v>
      </c>
      <c r="L1000" t="b">
        <v>0</v>
      </c>
      <c r="M1000" t="b">
        <v>1</v>
      </c>
      <c r="N1000" t="s">
        <v>60</v>
      </c>
      <c r="O1000" s="4">
        <f t="shared" si="45"/>
        <v>1.7608333553657827</v>
      </c>
      <c r="P1000" t="str">
        <f t="shared" si="46"/>
        <v>music</v>
      </c>
      <c r="Q1000" t="str">
        <f t="shared" si="47"/>
        <v>indie rock</v>
      </c>
      <c r="R1000" s="5" t="s">
        <v>2034</v>
      </c>
      <c r="S1000" s="5" t="s">
        <v>2035</v>
      </c>
    </row>
    <row r="1001" spans="1:23" x14ac:dyDescent="0.3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t="s">
        <v>74</v>
      </c>
      <c r="G1001">
        <v>1122</v>
      </c>
      <c r="H1001" t="s">
        <v>21</v>
      </c>
      <c r="I1001" t="s">
        <v>22</v>
      </c>
      <c r="J1001">
        <v>1467176400</v>
      </c>
      <c r="K1001">
        <v>1467781200</v>
      </c>
      <c r="L1001" t="b">
        <v>0</v>
      </c>
      <c r="M1001" t="b">
        <v>0</v>
      </c>
      <c r="N1001" t="s">
        <v>17</v>
      </c>
      <c r="O1001" s="4">
        <f t="shared" si="45"/>
        <v>1.7685732023750775</v>
      </c>
      <c r="P1001" t="str">
        <f t="shared" si="46"/>
        <v>food</v>
      </c>
      <c r="Q1001" t="str">
        <f t="shared" si="47"/>
        <v>food trucks</v>
      </c>
      <c r="R1001" s="5" t="s">
        <v>2032</v>
      </c>
      <c r="S1001" t="s">
        <v>74</v>
      </c>
      <c r="T1001" t="s">
        <v>14</v>
      </c>
      <c r="U1001" t="s">
        <v>47</v>
      </c>
      <c r="V1001" t="s">
        <v>20</v>
      </c>
      <c r="W1001" t="s">
        <v>2033</v>
      </c>
    </row>
    <row r="1002" spans="1:23" x14ac:dyDescent="0.3">
      <c r="R1002" s="6" t="s">
        <v>2036</v>
      </c>
      <c r="S1002">
        <v>11</v>
      </c>
      <c r="T1002">
        <v>60</v>
      </c>
      <c r="U1002">
        <v>5</v>
      </c>
      <c r="V1002">
        <v>102</v>
      </c>
      <c r="W1002">
        <v>178</v>
      </c>
    </row>
    <row r="1003" spans="1:23" x14ac:dyDescent="0.3">
      <c r="R1003" s="6" t="s">
        <v>2037</v>
      </c>
      <c r="S1003">
        <v>4</v>
      </c>
      <c r="T1003">
        <v>20</v>
      </c>
      <c r="V1003">
        <v>22</v>
      </c>
      <c r="W1003">
        <v>46</v>
      </c>
    </row>
    <row r="1004" spans="1:23" x14ac:dyDescent="0.3">
      <c r="R1004" s="6" t="s">
        <v>2038</v>
      </c>
      <c r="S1004">
        <v>1</v>
      </c>
      <c r="T1004">
        <v>23</v>
      </c>
      <c r="U1004">
        <v>3</v>
      </c>
      <c r="V1004">
        <v>21</v>
      </c>
      <c r="W1004">
        <v>48</v>
      </c>
    </row>
    <row r="1005" spans="1:23" x14ac:dyDescent="0.3">
      <c r="R1005" s="6" t="s">
        <v>2039</v>
      </c>
      <c r="V1005">
        <v>4</v>
      </c>
      <c r="W1005">
        <v>4</v>
      </c>
    </row>
    <row r="1006" spans="1:23" x14ac:dyDescent="0.3">
      <c r="R1006" s="6" t="s">
        <v>2040</v>
      </c>
      <c r="S1006">
        <v>10</v>
      </c>
      <c r="T1006">
        <v>66</v>
      </c>
      <c r="V1006">
        <v>99</v>
      </c>
      <c r="W1006">
        <v>175</v>
      </c>
    </row>
    <row r="1007" spans="1:23" x14ac:dyDescent="0.3">
      <c r="R1007" s="6" t="s">
        <v>2041</v>
      </c>
      <c r="S1007">
        <v>4</v>
      </c>
      <c r="T1007">
        <v>11</v>
      </c>
      <c r="U1007">
        <v>1</v>
      </c>
      <c r="V1007">
        <v>26</v>
      </c>
      <c r="W1007">
        <v>42</v>
      </c>
    </row>
    <row r="1008" spans="1:23" x14ac:dyDescent="0.3">
      <c r="R1008" s="6" t="s">
        <v>2042</v>
      </c>
      <c r="S1008">
        <v>2</v>
      </c>
      <c r="T1008">
        <v>24</v>
      </c>
      <c r="U1008">
        <v>1</v>
      </c>
      <c r="V1008">
        <v>40</v>
      </c>
      <c r="W1008">
        <v>67</v>
      </c>
    </row>
    <row r="1009" spans="18:23" x14ac:dyDescent="0.3">
      <c r="R1009" s="6" t="s">
        <v>2043</v>
      </c>
      <c r="S1009">
        <v>2</v>
      </c>
      <c r="T1009">
        <v>28</v>
      </c>
      <c r="U1009">
        <v>2</v>
      </c>
      <c r="V1009">
        <v>64</v>
      </c>
      <c r="W1009">
        <v>96</v>
      </c>
    </row>
    <row r="1010" spans="18:23" x14ac:dyDescent="0.3">
      <c r="R1010" s="6" t="s">
        <v>2044</v>
      </c>
      <c r="S1010">
        <v>23</v>
      </c>
      <c r="T1010">
        <v>132</v>
      </c>
      <c r="U1010">
        <v>2</v>
      </c>
      <c r="V1010">
        <v>187</v>
      </c>
      <c r="W1010">
        <v>344</v>
      </c>
    </row>
    <row r="1011" spans="18:23" x14ac:dyDescent="0.3">
      <c r="R1011" s="6" t="s">
        <v>2033</v>
      </c>
      <c r="S1011">
        <v>57</v>
      </c>
      <c r="T1011">
        <v>364</v>
      </c>
      <c r="U1011">
        <v>14</v>
      </c>
      <c r="V1011">
        <v>565</v>
      </c>
      <c r="W1011">
        <v>1000</v>
      </c>
    </row>
  </sheetData>
  <conditionalFormatting sqref="F1:F1048576">
    <cfRule type="containsText" dxfId="23" priority="4" operator="containsText" text="canceled">
      <formula>NOT(ISERROR(SEARCH("canceled",F1)))</formula>
    </cfRule>
    <cfRule type="containsText" priority="5" operator="containsText" text="canceled">
      <formula>NOT(ISERROR(SEARCH("canceled",F1)))</formula>
    </cfRule>
    <cfRule type="containsText" dxfId="22" priority="6" operator="containsText" text="live">
      <formula>NOT(ISERROR(SEARCH("live",F1)))</formula>
    </cfRule>
    <cfRule type="containsText" dxfId="21" priority="7" operator="containsText" text="successful">
      <formula>NOT(ISERROR(SEARCH("successful",F1)))</formula>
    </cfRule>
    <cfRule type="containsText" dxfId="20" priority="8" operator="containsText" text="successfull">
      <formula>NOT(ISERROR(SEARCH("successfull",F1)))</formula>
    </cfRule>
    <cfRule type="containsText" dxfId="19" priority="9" operator="containsText" text="failed">
      <formula>NOT(ISERROR(SEARCH("failed",F1)))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D5FC9-9FF3-4C4A-89F7-3F10B51D2721}">
  <dimension ref="J1:K1001"/>
  <sheetViews>
    <sheetView workbookViewId="0">
      <selection activeCell="K1" sqref="K1:K1048576"/>
    </sheetView>
  </sheetViews>
  <sheetFormatPr defaultRowHeight="15.6" x14ac:dyDescent="0.3"/>
  <cols>
    <col min="10" max="10" width="11.19921875"/>
    <col min="11" max="11" width="13" bestFit="1" customWidth="1"/>
  </cols>
  <sheetData>
    <row r="1" spans="10:11" x14ac:dyDescent="0.3">
      <c r="J1" s="1" t="s">
        <v>4</v>
      </c>
      <c r="K1" s="1" t="s">
        <v>5</v>
      </c>
    </row>
    <row r="2" spans="10:11" x14ac:dyDescent="0.3">
      <c r="J2" t="s">
        <v>14</v>
      </c>
      <c r="K2">
        <v>0</v>
      </c>
    </row>
    <row r="3" spans="10:11" x14ac:dyDescent="0.3">
      <c r="J3" t="s">
        <v>20</v>
      </c>
      <c r="K3">
        <v>158</v>
      </c>
    </row>
    <row r="4" spans="10:11" x14ac:dyDescent="0.3">
      <c r="J4" t="s">
        <v>20</v>
      </c>
      <c r="K4">
        <v>1425</v>
      </c>
    </row>
    <row r="5" spans="10:11" x14ac:dyDescent="0.3">
      <c r="J5" t="s">
        <v>14</v>
      </c>
      <c r="K5">
        <v>24</v>
      </c>
    </row>
    <row r="6" spans="10:11" x14ac:dyDescent="0.3">
      <c r="J6" t="s">
        <v>14</v>
      </c>
      <c r="K6">
        <v>53</v>
      </c>
    </row>
    <row r="7" spans="10:11" x14ac:dyDescent="0.3">
      <c r="J7" t="s">
        <v>20</v>
      </c>
      <c r="K7">
        <v>174</v>
      </c>
    </row>
    <row r="8" spans="10:11" x14ac:dyDescent="0.3">
      <c r="J8" t="s">
        <v>14</v>
      </c>
      <c r="K8">
        <v>18</v>
      </c>
    </row>
    <row r="9" spans="10:11" x14ac:dyDescent="0.3">
      <c r="J9" t="s">
        <v>20</v>
      </c>
      <c r="K9">
        <v>227</v>
      </c>
    </row>
    <row r="10" spans="10:11" x14ac:dyDescent="0.3">
      <c r="J10" t="s">
        <v>47</v>
      </c>
      <c r="K10">
        <v>708</v>
      </c>
    </row>
    <row r="11" spans="10:11" x14ac:dyDescent="0.3">
      <c r="J11" t="s">
        <v>14</v>
      </c>
      <c r="K11">
        <v>44</v>
      </c>
    </row>
    <row r="12" spans="10:11" x14ac:dyDescent="0.3">
      <c r="J12" t="s">
        <v>20</v>
      </c>
      <c r="K12">
        <v>220</v>
      </c>
    </row>
    <row r="13" spans="10:11" x14ac:dyDescent="0.3">
      <c r="J13" t="s">
        <v>14</v>
      </c>
      <c r="K13">
        <v>27</v>
      </c>
    </row>
    <row r="14" spans="10:11" x14ac:dyDescent="0.3">
      <c r="J14" t="s">
        <v>14</v>
      </c>
      <c r="K14">
        <v>55</v>
      </c>
    </row>
    <row r="15" spans="10:11" x14ac:dyDescent="0.3">
      <c r="J15" t="s">
        <v>20</v>
      </c>
      <c r="K15">
        <v>98</v>
      </c>
    </row>
    <row r="16" spans="10:11" x14ac:dyDescent="0.3">
      <c r="J16" t="s">
        <v>14</v>
      </c>
      <c r="K16">
        <v>200</v>
      </c>
    </row>
    <row r="17" spans="10:11" x14ac:dyDescent="0.3">
      <c r="J17" t="s">
        <v>14</v>
      </c>
      <c r="K17">
        <v>452</v>
      </c>
    </row>
    <row r="18" spans="10:11" x14ac:dyDescent="0.3">
      <c r="J18" t="s">
        <v>20</v>
      </c>
      <c r="K18">
        <v>100</v>
      </c>
    </row>
    <row r="19" spans="10:11" x14ac:dyDescent="0.3">
      <c r="J19" t="s">
        <v>20</v>
      </c>
      <c r="K19">
        <v>1249</v>
      </c>
    </row>
    <row r="20" spans="10:11" x14ac:dyDescent="0.3">
      <c r="J20" t="s">
        <v>74</v>
      </c>
      <c r="K20">
        <v>135</v>
      </c>
    </row>
    <row r="21" spans="10:11" x14ac:dyDescent="0.3">
      <c r="J21" t="s">
        <v>14</v>
      </c>
      <c r="K21">
        <v>674</v>
      </c>
    </row>
    <row r="22" spans="10:11" x14ac:dyDescent="0.3">
      <c r="J22" t="s">
        <v>20</v>
      </c>
      <c r="K22">
        <v>1396</v>
      </c>
    </row>
    <row r="23" spans="10:11" x14ac:dyDescent="0.3">
      <c r="J23" t="s">
        <v>14</v>
      </c>
      <c r="K23">
        <v>558</v>
      </c>
    </row>
    <row r="24" spans="10:11" x14ac:dyDescent="0.3">
      <c r="J24" t="s">
        <v>20</v>
      </c>
      <c r="K24">
        <v>890</v>
      </c>
    </row>
    <row r="25" spans="10:11" x14ac:dyDescent="0.3">
      <c r="J25" t="s">
        <v>20</v>
      </c>
      <c r="K25">
        <v>142</v>
      </c>
    </row>
    <row r="26" spans="10:11" x14ac:dyDescent="0.3">
      <c r="J26" t="s">
        <v>20</v>
      </c>
      <c r="K26">
        <v>2673</v>
      </c>
    </row>
    <row r="27" spans="10:11" x14ac:dyDescent="0.3">
      <c r="J27" t="s">
        <v>20</v>
      </c>
      <c r="K27">
        <v>163</v>
      </c>
    </row>
    <row r="28" spans="10:11" x14ac:dyDescent="0.3">
      <c r="J28" t="s">
        <v>74</v>
      </c>
      <c r="K28">
        <v>1480</v>
      </c>
    </row>
    <row r="29" spans="10:11" x14ac:dyDescent="0.3">
      <c r="J29" t="s">
        <v>14</v>
      </c>
      <c r="K29">
        <v>15</v>
      </c>
    </row>
    <row r="30" spans="10:11" x14ac:dyDescent="0.3">
      <c r="J30" t="s">
        <v>20</v>
      </c>
      <c r="K30">
        <v>2220</v>
      </c>
    </row>
    <row r="31" spans="10:11" x14ac:dyDescent="0.3">
      <c r="J31" t="s">
        <v>20</v>
      </c>
      <c r="K31">
        <v>1606</v>
      </c>
    </row>
    <row r="32" spans="10:11" x14ac:dyDescent="0.3">
      <c r="J32" t="s">
        <v>20</v>
      </c>
      <c r="K32">
        <v>129</v>
      </c>
    </row>
    <row r="33" spans="10:11" x14ac:dyDescent="0.3">
      <c r="J33" t="s">
        <v>20</v>
      </c>
      <c r="K33">
        <v>226</v>
      </c>
    </row>
    <row r="34" spans="10:11" x14ac:dyDescent="0.3">
      <c r="J34" t="s">
        <v>14</v>
      </c>
      <c r="K34">
        <v>2307</v>
      </c>
    </row>
    <row r="35" spans="10:11" x14ac:dyDescent="0.3">
      <c r="J35" t="s">
        <v>20</v>
      </c>
      <c r="K35">
        <v>5419</v>
      </c>
    </row>
    <row r="36" spans="10:11" x14ac:dyDescent="0.3">
      <c r="J36" t="s">
        <v>20</v>
      </c>
      <c r="K36">
        <v>165</v>
      </c>
    </row>
    <row r="37" spans="10:11" x14ac:dyDescent="0.3">
      <c r="J37" t="s">
        <v>20</v>
      </c>
      <c r="K37">
        <v>1965</v>
      </c>
    </row>
    <row r="38" spans="10:11" x14ac:dyDescent="0.3">
      <c r="J38" t="s">
        <v>20</v>
      </c>
      <c r="K38">
        <v>16</v>
      </c>
    </row>
    <row r="39" spans="10:11" x14ac:dyDescent="0.3">
      <c r="J39" t="s">
        <v>20</v>
      </c>
      <c r="K39">
        <v>107</v>
      </c>
    </row>
    <row r="40" spans="10:11" x14ac:dyDescent="0.3">
      <c r="J40" t="s">
        <v>20</v>
      </c>
      <c r="K40">
        <v>134</v>
      </c>
    </row>
    <row r="41" spans="10:11" x14ac:dyDescent="0.3">
      <c r="J41" t="s">
        <v>14</v>
      </c>
      <c r="K41">
        <v>88</v>
      </c>
    </row>
    <row r="42" spans="10:11" x14ac:dyDescent="0.3">
      <c r="J42" t="s">
        <v>20</v>
      </c>
      <c r="K42">
        <v>198</v>
      </c>
    </row>
    <row r="43" spans="10:11" x14ac:dyDescent="0.3">
      <c r="J43" t="s">
        <v>20</v>
      </c>
      <c r="K43">
        <v>111</v>
      </c>
    </row>
    <row r="44" spans="10:11" x14ac:dyDescent="0.3">
      <c r="J44" t="s">
        <v>20</v>
      </c>
      <c r="K44">
        <v>222</v>
      </c>
    </row>
    <row r="45" spans="10:11" x14ac:dyDescent="0.3">
      <c r="J45" t="s">
        <v>20</v>
      </c>
      <c r="K45">
        <v>6212</v>
      </c>
    </row>
    <row r="46" spans="10:11" x14ac:dyDescent="0.3">
      <c r="J46" t="s">
        <v>20</v>
      </c>
      <c r="K46">
        <v>98</v>
      </c>
    </row>
    <row r="47" spans="10:11" x14ac:dyDescent="0.3">
      <c r="J47" t="s">
        <v>14</v>
      </c>
      <c r="K47">
        <v>48</v>
      </c>
    </row>
    <row r="48" spans="10:11" x14ac:dyDescent="0.3">
      <c r="J48" t="s">
        <v>20</v>
      </c>
      <c r="K48">
        <v>92</v>
      </c>
    </row>
    <row r="49" spans="10:11" x14ac:dyDescent="0.3">
      <c r="J49" t="s">
        <v>20</v>
      </c>
      <c r="K49">
        <v>149</v>
      </c>
    </row>
    <row r="50" spans="10:11" x14ac:dyDescent="0.3">
      <c r="J50" t="s">
        <v>20</v>
      </c>
      <c r="K50">
        <v>2431</v>
      </c>
    </row>
    <row r="51" spans="10:11" x14ac:dyDescent="0.3">
      <c r="J51" t="s">
        <v>20</v>
      </c>
      <c r="K51">
        <v>303</v>
      </c>
    </row>
    <row r="52" spans="10:11" x14ac:dyDescent="0.3">
      <c r="J52" t="s">
        <v>14</v>
      </c>
      <c r="K52">
        <v>1</v>
      </c>
    </row>
    <row r="53" spans="10:11" x14ac:dyDescent="0.3">
      <c r="J53" t="s">
        <v>14</v>
      </c>
      <c r="K53">
        <v>1467</v>
      </c>
    </row>
    <row r="54" spans="10:11" x14ac:dyDescent="0.3">
      <c r="J54" t="s">
        <v>14</v>
      </c>
      <c r="K54">
        <v>75</v>
      </c>
    </row>
    <row r="55" spans="10:11" x14ac:dyDescent="0.3">
      <c r="J55" t="s">
        <v>20</v>
      </c>
      <c r="K55">
        <v>209</v>
      </c>
    </row>
    <row r="56" spans="10:11" x14ac:dyDescent="0.3">
      <c r="J56" t="s">
        <v>14</v>
      </c>
      <c r="K56">
        <v>120</v>
      </c>
    </row>
    <row r="57" spans="10:11" x14ac:dyDescent="0.3">
      <c r="J57" t="s">
        <v>20</v>
      </c>
      <c r="K57">
        <v>131</v>
      </c>
    </row>
    <row r="58" spans="10:11" x14ac:dyDescent="0.3">
      <c r="J58" t="s">
        <v>20</v>
      </c>
      <c r="K58">
        <v>164</v>
      </c>
    </row>
    <row r="59" spans="10:11" x14ac:dyDescent="0.3">
      <c r="J59" t="s">
        <v>20</v>
      </c>
      <c r="K59">
        <v>201</v>
      </c>
    </row>
    <row r="60" spans="10:11" x14ac:dyDescent="0.3">
      <c r="J60" t="s">
        <v>20</v>
      </c>
      <c r="K60">
        <v>211</v>
      </c>
    </row>
    <row r="61" spans="10:11" x14ac:dyDescent="0.3">
      <c r="J61" t="s">
        <v>20</v>
      </c>
      <c r="K61">
        <v>128</v>
      </c>
    </row>
    <row r="62" spans="10:11" x14ac:dyDescent="0.3">
      <c r="J62" t="s">
        <v>20</v>
      </c>
      <c r="K62">
        <v>1600</v>
      </c>
    </row>
    <row r="63" spans="10:11" x14ac:dyDescent="0.3">
      <c r="J63" t="s">
        <v>14</v>
      </c>
      <c r="K63">
        <v>2253</v>
      </c>
    </row>
    <row r="64" spans="10:11" x14ac:dyDescent="0.3">
      <c r="J64" t="s">
        <v>20</v>
      </c>
      <c r="K64">
        <v>249</v>
      </c>
    </row>
    <row r="65" spans="10:11" x14ac:dyDescent="0.3">
      <c r="J65" t="s">
        <v>14</v>
      </c>
      <c r="K65">
        <v>5</v>
      </c>
    </row>
    <row r="66" spans="10:11" x14ac:dyDescent="0.3">
      <c r="J66" t="s">
        <v>14</v>
      </c>
      <c r="K66">
        <v>38</v>
      </c>
    </row>
    <row r="67" spans="10:11" x14ac:dyDescent="0.3">
      <c r="J67" t="s">
        <v>20</v>
      </c>
      <c r="K67">
        <v>236</v>
      </c>
    </row>
    <row r="68" spans="10:11" x14ac:dyDescent="0.3">
      <c r="J68" t="s">
        <v>14</v>
      </c>
      <c r="K68">
        <v>12</v>
      </c>
    </row>
    <row r="69" spans="10:11" x14ac:dyDescent="0.3">
      <c r="J69" t="s">
        <v>20</v>
      </c>
      <c r="K69">
        <v>4065</v>
      </c>
    </row>
    <row r="70" spans="10:11" x14ac:dyDescent="0.3">
      <c r="J70" t="s">
        <v>20</v>
      </c>
      <c r="K70">
        <v>246</v>
      </c>
    </row>
    <row r="71" spans="10:11" x14ac:dyDescent="0.3">
      <c r="J71" t="s">
        <v>74</v>
      </c>
      <c r="K71">
        <v>17</v>
      </c>
    </row>
    <row r="72" spans="10:11" x14ac:dyDescent="0.3">
      <c r="J72" t="s">
        <v>20</v>
      </c>
      <c r="K72">
        <v>2475</v>
      </c>
    </row>
    <row r="73" spans="10:11" x14ac:dyDescent="0.3">
      <c r="J73" t="s">
        <v>20</v>
      </c>
      <c r="K73">
        <v>76</v>
      </c>
    </row>
    <row r="74" spans="10:11" x14ac:dyDescent="0.3">
      <c r="J74" t="s">
        <v>20</v>
      </c>
      <c r="K74">
        <v>54</v>
      </c>
    </row>
    <row r="75" spans="10:11" x14ac:dyDescent="0.3">
      <c r="J75" t="s">
        <v>20</v>
      </c>
      <c r="K75">
        <v>88</v>
      </c>
    </row>
    <row r="76" spans="10:11" x14ac:dyDescent="0.3">
      <c r="J76" t="s">
        <v>20</v>
      </c>
      <c r="K76">
        <v>85</v>
      </c>
    </row>
    <row r="77" spans="10:11" x14ac:dyDescent="0.3">
      <c r="J77" t="s">
        <v>20</v>
      </c>
      <c r="K77">
        <v>170</v>
      </c>
    </row>
    <row r="78" spans="10:11" x14ac:dyDescent="0.3">
      <c r="J78" t="s">
        <v>14</v>
      </c>
      <c r="K78">
        <v>1684</v>
      </c>
    </row>
    <row r="79" spans="10:11" x14ac:dyDescent="0.3">
      <c r="J79" t="s">
        <v>14</v>
      </c>
      <c r="K79">
        <v>56</v>
      </c>
    </row>
    <row r="80" spans="10:11" x14ac:dyDescent="0.3">
      <c r="J80" t="s">
        <v>20</v>
      </c>
      <c r="K80">
        <v>330</v>
      </c>
    </row>
    <row r="81" spans="10:11" x14ac:dyDescent="0.3">
      <c r="J81" t="s">
        <v>14</v>
      </c>
      <c r="K81">
        <v>838</v>
      </c>
    </row>
    <row r="82" spans="10:11" x14ac:dyDescent="0.3">
      <c r="J82" t="s">
        <v>20</v>
      </c>
      <c r="K82">
        <v>127</v>
      </c>
    </row>
    <row r="83" spans="10:11" x14ac:dyDescent="0.3">
      <c r="J83" t="s">
        <v>20</v>
      </c>
      <c r="K83">
        <v>411</v>
      </c>
    </row>
    <row r="84" spans="10:11" x14ac:dyDescent="0.3">
      <c r="J84" t="s">
        <v>20</v>
      </c>
      <c r="K84">
        <v>180</v>
      </c>
    </row>
    <row r="85" spans="10:11" x14ac:dyDescent="0.3">
      <c r="J85" t="s">
        <v>14</v>
      </c>
      <c r="K85">
        <v>1000</v>
      </c>
    </row>
    <row r="86" spans="10:11" x14ac:dyDescent="0.3">
      <c r="J86" t="s">
        <v>20</v>
      </c>
      <c r="K86">
        <v>374</v>
      </c>
    </row>
    <row r="87" spans="10:11" x14ac:dyDescent="0.3">
      <c r="J87" t="s">
        <v>20</v>
      </c>
      <c r="K87">
        <v>71</v>
      </c>
    </row>
    <row r="88" spans="10:11" x14ac:dyDescent="0.3">
      <c r="J88" t="s">
        <v>20</v>
      </c>
      <c r="K88">
        <v>203</v>
      </c>
    </row>
    <row r="89" spans="10:11" x14ac:dyDescent="0.3">
      <c r="J89" t="s">
        <v>14</v>
      </c>
      <c r="K89">
        <v>1482</v>
      </c>
    </row>
    <row r="90" spans="10:11" x14ac:dyDescent="0.3">
      <c r="J90" t="s">
        <v>20</v>
      </c>
      <c r="K90">
        <v>113</v>
      </c>
    </row>
    <row r="91" spans="10:11" x14ac:dyDescent="0.3">
      <c r="J91" t="s">
        <v>20</v>
      </c>
      <c r="K91">
        <v>96</v>
      </c>
    </row>
    <row r="92" spans="10:11" x14ac:dyDescent="0.3">
      <c r="J92" t="s">
        <v>14</v>
      </c>
      <c r="K92">
        <v>106</v>
      </c>
    </row>
    <row r="93" spans="10:11" x14ac:dyDescent="0.3">
      <c r="J93" t="s">
        <v>14</v>
      </c>
      <c r="K93">
        <v>679</v>
      </c>
    </row>
    <row r="94" spans="10:11" x14ac:dyDescent="0.3">
      <c r="J94" t="s">
        <v>20</v>
      </c>
      <c r="K94">
        <v>498</v>
      </c>
    </row>
    <row r="95" spans="10:11" x14ac:dyDescent="0.3">
      <c r="J95" t="s">
        <v>74</v>
      </c>
      <c r="K95">
        <v>610</v>
      </c>
    </row>
    <row r="96" spans="10:11" x14ac:dyDescent="0.3">
      <c r="J96" t="s">
        <v>20</v>
      </c>
      <c r="K96">
        <v>180</v>
      </c>
    </row>
    <row r="97" spans="10:11" x14ac:dyDescent="0.3">
      <c r="J97" t="s">
        <v>20</v>
      </c>
      <c r="K97">
        <v>27</v>
      </c>
    </row>
    <row r="98" spans="10:11" x14ac:dyDescent="0.3">
      <c r="J98" t="s">
        <v>20</v>
      </c>
      <c r="K98">
        <v>2331</v>
      </c>
    </row>
    <row r="99" spans="10:11" x14ac:dyDescent="0.3">
      <c r="J99" t="s">
        <v>20</v>
      </c>
      <c r="K99">
        <v>113</v>
      </c>
    </row>
    <row r="100" spans="10:11" x14ac:dyDescent="0.3">
      <c r="J100" t="s">
        <v>14</v>
      </c>
      <c r="K100">
        <v>1220</v>
      </c>
    </row>
    <row r="101" spans="10:11" x14ac:dyDescent="0.3">
      <c r="J101" t="s">
        <v>20</v>
      </c>
      <c r="K101">
        <v>164</v>
      </c>
    </row>
    <row r="102" spans="10:11" x14ac:dyDescent="0.3">
      <c r="J102" t="s">
        <v>14</v>
      </c>
      <c r="K102">
        <v>1</v>
      </c>
    </row>
    <row r="103" spans="10:11" x14ac:dyDescent="0.3">
      <c r="J103" t="s">
        <v>20</v>
      </c>
      <c r="K103">
        <v>164</v>
      </c>
    </row>
    <row r="104" spans="10:11" x14ac:dyDescent="0.3">
      <c r="J104" t="s">
        <v>20</v>
      </c>
      <c r="K104">
        <v>336</v>
      </c>
    </row>
    <row r="105" spans="10:11" x14ac:dyDescent="0.3">
      <c r="J105" t="s">
        <v>14</v>
      </c>
      <c r="K105">
        <v>37</v>
      </c>
    </row>
    <row r="106" spans="10:11" x14ac:dyDescent="0.3">
      <c r="J106" t="s">
        <v>20</v>
      </c>
      <c r="K106">
        <v>1917</v>
      </c>
    </row>
    <row r="107" spans="10:11" x14ac:dyDescent="0.3">
      <c r="J107" t="s">
        <v>20</v>
      </c>
      <c r="K107">
        <v>95</v>
      </c>
    </row>
    <row r="108" spans="10:11" x14ac:dyDescent="0.3">
      <c r="J108" t="s">
        <v>20</v>
      </c>
      <c r="K108">
        <v>147</v>
      </c>
    </row>
    <row r="109" spans="10:11" x14ac:dyDescent="0.3">
      <c r="J109" t="s">
        <v>20</v>
      </c>
      <c r="K109">
        <v>86</v>
      </c>
    </row>
    <row r="110" spans="10:11" x14ac:dyDescent="0.3">
      <c r="J110" t="s">
        <v>20</v>
      </c>
      <c r="K110">
        <v>83</v>
      </c>
    </row>
    <row r="111" spans="10:11" x14ac:dyDescent="0.3">
      <c r="J111" t="s">
        <v>14</v>
      </c>
      <c r="K111">
        <v>60</v>
      </c>
    </row>
    <row r="112" spans="10:11" x14ac:dyDescent="0.3">
      <c r="J112" t="s">
        <v>14</v>
      </c>
      <c r="K112">
        <v>296</v>
      </c>
    </row>
    <row r="113" spans="10:11" x14ac:dyDescent="0.3">
      <c r="J113" t="s">
        <v>20</v>
      </c>
      <c r="K113">
        <v>676</v>
      </c>
    </row>
    <row r="114" spans="10:11" x14ac:dyDescent="0.3">
      <c r="J114" t="s">
        <v>20</v>
      </c>
      <c r="K114">
        <v>361</v>
      </c>
    </row>
    <row r="115" spans="10:11" x14ac:dyDescent="0.3">
      <c r="J115" t="s">
        <v>20</v>
      </c>
      <c r="K115">
        <v>131</v>
      </c>
    </row>
    <row r="116" spans="10:11" x14ac:dyDescent="0.3">
      <c r="J116" t="s">
        <v>20</v>
      </c>
      <c r="K116">
        <v>126</v>
      </c>
    </row>
    <row r="117" spans="10:11" x14ac:dyDescent="0.3">
      <c r="J117" t="s">
        <v>14</v>
      </c>
      <c r="K117">
        <v>3304</v>
      </c>
    </row>
    <row r="118" spans="10:11" x14ac:dyDescent="0.3">
      <c r="J118" t="s">
        <v>14</v>
      </c>
      <c r="K118">
        <v>73</v>
      </c>
    </row>
    <row r="119" spans="10:11" x14ac:dyDescent="0.3">
      <c r="J119" t="s">
        <v>20</v>
      </c>
      <c r="K119">
        <v>275</v>
      </c>
    </row>
    <row r="120" spans="10:11" x14ac:dyDescent="0.3">
      <c r="J120" t="s">
        <v>20</v>
      </c>
      <c r="K120">
        <v>67</v>
      </c>
    </row>
    <row r="121" spans="10:11" x14ac:dyDescent="0.3">
      <c r="J121" t="s">
        <v>20</v>
      </c>
      <c r="K121">
        <v>154</v>
      </c>
    </row>
    <row r="122" spans="10:11" x14ac:dyDescent="0.3">
      <c r="J122" t="s">
        <v>20</v>
      </c>
      <c r="K122">
        <v>1782</v>
      </c>
    </row>
    <row r="123" spans="10:11" x14ac:dyDescent="0.3">
      <c r="J123" t="s">
        <v>20</v>
      </c>
      <c r="K123">
        <v>903</v>
      </c>
    </row>
    <row r="124" spans="10:11" x14ac:dyDescent="0.3">
      <c r="J124" t="s">
        <v>14</v>
      </c>
      <c r="K124">
        <v>3387</v>
      </c>
    </row>
    <row r="125" spans="10:11" x14ac:dyDescent="0.3">
      <c r="J125" t="s">
        <v>14</v>
      </c>
      <c r="K125">
        <v>662</v>
      </c>
    </row>
    <row r="126" spans="10:11" x14ac:dyDescent="0.3">
      <c r="J126" t="s">
        <v>20</v>
      </c>
      <c r="K126">
        <v>94</v>
      </c>
    </row>
    <row r="127" spans="10:11" x14ac:dyDescent="0.3">
      <c r="J127" t="s">
        <v>20</v>
      </c>
      <c r="K127">
        <v>180</v>
      </c>
    </row>
    <row r="128" spans="10:11" x14ac:dyDescent="0.3">
      <c r="J128" t="s">
        <v>14</v>
      </c>
      <c r="K128">
        <v>774</v>
      </c>
    </row>
    <row r="129" spans="10:11" x14ac:dyDescent="0.3">
      <c r="J129" t="s">
        <v>14</v>
      </c>
      <c r="K129">
        <v>672</v>
      </c>
    </row>
    <row r="130" spans="10:11" x14ac:dyDescent="0.3">
      <c r="J130" t="s">
        <v>74</v>
      </c>
      <c r="K130">
        <v>532</v>
      </c>
    </row>
    <row r="131" spans="10:11" x14ac:dyDescent="0.3">
      <c r="J131" t="s">
        <v>74</v>
      </c>
      <c r="K131">
        <v>55</v>
      </c>
    </row>
    <row r="132" spans="10:11" x14ac:dyDescent="0.3">
      <c r="J132" t="s">
        <v>20</v>
      </c>
      <c r="K132">
        <v>533</v>
      </c>
    </row>
    <row r="133" spans="10:11" x14ac:dyDescent="0.3">
      <c r="J133" t="s">
        <v>20</v>
      </c>
      <c r="K133">
        <v>2443</v>
      </c>
    </row>
    <row r="134" spans="10:11" x14ac:dyDescent="0.3">
      <c r="J134" t="s">
        <v>20</v>
      </c>
      <c r="K134">
        <v>89</v>
      </c>
    </row>
    <row r="135" spans="10:11" x14ac:dyDescent="0.3">
      <c r="J135" t="s">
        <v>20</v>
      </c>
      <c r="K135">
        <v>159</v>
      </c>
    </row>
    <row r="136" spans="10:11" x14ac:dyDescent="0.3">
      <c r="J136" t="s">
        <v>14</v>
      </c>
      <c r="K136">
        <v>940</v>
      </c>
    </row>
    <row r="137" spans="10:11" x14ac:dyDescent="0.3">
      <c r="J137" t="s">
        <v>14</v>
      </c>
      <c r="K137">
        <v>117</v>
      </c>
    </row>
    <row r="138" spans="10:11" x14ac:dyDescent="0.3">
      <c r="J138" t="s">
        <v>74</v>
      </c>
      <c r="K138">
        <v>58</v>
      </c>
    </row>
    <row r="139" spans="10:11" x14ac:dyDescent="0.3">
      <c r="J139" t="s">
        <v>20</v>
      </c>
      <c r="K139">
        <v>50</v>
      </c>
    </row>
    <row r="140" spans="10:11" x14ac:dyDescent="0.3">
      <c r="J140" t="s">
        <v>14</v>
      </c>
      <c r="K140">
        <v>115</v>
      </c>
    </row>
    <row r="141" spans="10:11" x14ac:dyDescent="0.3">
      <c r="J141" t="s">
        <v>14</v>
      </c>
      <c r="K141">
        <v>326</v>
      </c>
    </row>
    <row r="142" spans="10:11" x14ac:dyDescent="0.3">
      <c r="J142" t="s">
        <v>20</v>
      </c>
      <c r="K142">
        <v>186</v>
      </c>
    </row>
    <row r="143" spans="10:11" x14ac:dyDescent="0.3">
      <c r="J143" t="s">
        <v>20</v>
      </c>
      <c r="K143">
        <v>1071</v>
      </c>
    </row>
    <row r="144" spans="10:11" x14ac:dyDescent="0.3">
      <c r="J144" t="s">
        <v>20</v>
      </c>
      <c r="K144">
        <v>117</v>
      </c>
    </row>
    <row r="145" spans="10:11" x14ac:dyDescent="0.3">
      <c r="J145" t="s">
        <v>20</v>
      </c>
      <c r="K145">
        <v>70</v>
      </c>
    </row>
    <row r="146" spans="10:11" x14ac:dyDescent="0.3">
      <c r="J146" t="s">
        <v>20</v>
      </c>
      <c r="K146">
        <v>135</v>
      </c>
    </row>
    <row r="147" spans="10:11" x14ac:dyDescent="0.3">
      <c r="J147" t="s">
        <v>20</v>
      </c>
      <c r="K147">
        <v>768</v>
      </c>
    </row>
    <row r="148" spans="10:11" x14ac:dyDescent="0.3">
      <c r="J148" t="s">
        <v>74</v>
      </c>
      <c r="K148">
        <v>51</v>
      </c>
    </row>
    <row r="149" spans="10:11" x14ac:dyDescent="0.3">
      <c r="J149" t="s">
        <v>20</v>
      </c>
      <c r="K149">
        <v>199</v>
      </c>
    </row>
    <row r="150" spans="10:11" x14ac:dyDescent="0.3">
      <c r="J150" t="s">
        <v>20</v>
      </c>
      <c r="K150">
        <v>107</v>
      </c>
    </row>
    <row r="151" spans="10:11" x14ac:dyDescent="0.3">
      <c r="J151" t="s">
        <v>20</v>
      </c>
      <c r="K151">
        <v>195</v>
      </c>
    </row>
    <row r="152" spans="10:11" x14ac:dyDescent="0.3">
      <c r="J152" t="s">
        <v>14</v>
      </c>
      <c r="K152">
        <v>1</v>
      </c>
    </row>
    <row r="153" spans="10:11" x14ac:dyDescent="0.3">
      <c r="J153" t="s">
        <v>14</v>
      </c>
      <c r="K153">
        <v>1467</v>
      </c>
    </row>
    <row r="154" spans="10:11" x14ac:dyDescent="0.3">
      <c r="J154" t="s">
        <v>20</v>
      </c>
      <c r="K154">
        <v>3376</v>
      </c>
    </row>
    <row r="155" spans="10:11" x14ac:dyDescent="0.3">
      <c r="J155" t="s">
        <v>14</v>
      </c>
      <c r="K155">
        <v>5681</v>
      </c>
    </row>
    <row r="156" spans="10:11" x14ac:dyDescent="0.3">
      <c r="J156" t="s">
        <v>14</v>
      </c>
      <c r="K156">
        <v>1059</v>
      </c>
    </row>
    <row r="157" spans="10:11" x14ac:dyDescent="0.3">
      <c r="J157" t="s">
        <v>14</v>
      </c>
      <c r="K157">
        <v>1194</v>
      </c>
    </row>
    <row r="158" spans="10:11" x14ac:dyDescent="0.3">
      <c r="J158" t="s">
        <v>74</v>
      </c>
      <c r="K158">
        <v>379</v>
      </c>
    </row>
    <row r="159" spans="10:11" x14ac:dyDescent="0.3">
      <c r="J159" t="s">
        <v>14</v>
      </c>
      <c r="K159">
        <v>30</v>
      </c>
    </row>
    <row r="160" spans="10:11" x14ac:dyDescent="0.3">
      <c r="J160" t="s">
        <v>20</v>
      </c>
      <c r="K160">
        <v>41</v>
      </c>
    </row>
    <row r="161" spans="10:11" x14ac:dyDescent="0.3">
      <c r="J161" t="s">
        <v>20</v>
      </c>
      <c r="K161">
        <v>1821</v>
      </c>
    </row>
    <row r="162" spans="10:11" x14ac:dyDescent="0.3">
      <c r="J162" t="s">
        <v>20</v>
      </c>
      <c r="K162">
        <v>164</v>
      </c>
    </row>
    <row r="163" spans="10:11" x14ac:dyDescent="0.3">
      <c r="J163" t="s">
        <v>14</v>
      </c>
      <c r="K163">
        <v>75</v>
      </c>
    </row>
    <row r="164" spans="10:11" x14ac:dyDescent="0.3">
      <c r="J164" t="s">
        <v>20</v>
      </c>
      <c r="K164">
        <v>157</v>
      </c>
    </row>
    <row r="165" spans="10:11" x14ac:dyDescent="0.3">
      <c r="J165" t="s">
        <v>20</v>
      </c>
      <c r="K165">
        <v>246</v>
      </c>
    </row>
    <row r="166" spans="10:11" x14ac:dyDescent="0.3">
      <c r="J166" t="s">
        <v>20</v>
      </c>
      <c r="K166">
        <v>1396</v>
      </c>
    </row>
    <row r="167" spans="10:11" x14ac:dyDescent="0.3">
      <c r="J167" t="s">
        <v>20</v>
      </c>
      <c r="K167">
        <v>2506</v>
      </c>
    </row>
    <row r="168" spans="10:11" x14ac:dyDescent="0.3">
      <c r="J168" t="s">
        <v>20</v>
      </c>
      <c r="K168">
        <v>244</v>
      </c>
    </row>
    <row r="169" spans="10:11" x14ac:dyDescent="0.3">
      <c r="J169" t="s">
        <v>20</v>
      </c>
      <c r="K169">
        <v>146</v>
      </c>
    </row>
    <row r="170" spans="10:11" x14ac:dyDescent="0.3">
      <c r="J170" t="s">
        <v>14</v>
      </c>
      <c r="K170">
        <v>955</v>
      </c>
    </row>
    <row r="171" spans="10:11" x14ac:dyDescent="0.3">
      <c r="J171" t="s">
        <v>20</v>
      </c>
      <c r="K171">
        <v>1267</v>
      </c>
    </row>
    <row r="172" spans="10:11" x14ac:dyDescent="0.3">
      <c r="J172" t="s">
        <v>14</v>
      </c>
      <c r="K172">
        <v>67</v>
      </c>
    </row>
    <row r="173" spans="10:11" x14ac:dyDescent="0.3">
      <c r="J173" t="s">
        <v>14</v>
      </c>
      <c r="K173">
        <v>5</v>
      </c>
    </row>
    <row r="174" spans="10:11" x14ac:dyDescent="0.3">
      <c r="J174" t="s">
        <v>14</v>
      </c>
      <c r="K174">
        <v>26</v>
      </c>
    </row>
    <row r="175" spans="10:11" x14ac:dyDescent="0.3">
      <c r="J175" t="s">
        <v>20</v>
      </c>
      <c r="K175">
        <v>1561</v>
      </c>
    </row>
    <row r="176" spans="10:11" x14ac:dyDescent="0.3">
      <c r="J176" t="s">
        <v>20</v>
      </c>
      <c r="K176">
        <v>48</v>
      </c>
    </row>
    <row r="177" spans="10:11" x14ac:dyDescent="0.3">
      <c r="J177" t="s">
        <v>14</v>
      </c>
      <c r="K177">
        <v>1130</v>
      </c>
    </row>
    <row r="178" spans="10:11" x14ac:dyDescent="0.3">
      <c r="J178" t="s">
        <v>14</v>
      </c>
      <c r="K178">
        <v>782</v>
      </c>
    </row>
    <row r="179" spans="10:11" x14ac:dyDescent="0.3">
      <c r="J179" t="s">
        <v>20</v>
      </c>
      <c r="K179">
        <v>2739</v>
      </c>
    </row>
    <row r="180" spans="10:11" x14ac:dyDescent="0.3">
      <c r="J180" t="s">
        <v>14</v>
      </c>
      <c r="K180">
        <v>210</v>
      </c>
    </row>
    <row r="181" spans="10:11" x14ac:dyDescent="0.3">
      <c r="J181" t="s">
        <v>20</v>
      </c>
      <c r="K181">
        <v>3537</v>
      </c>
    </row>
    <row r="182" spans="10:11" x14ac:dyDescent="0.3">
      <c r="J182" t="s">
        <v>20</v>
      </c>
      <c r="K182">
        <v>2107</v>
      </c>
    </row>
    <row r="183" spans="10:11" x14ac:dyDescent="0.3">
      <c r="J183" t="s">
        <v>14</v>
      </c>
      <c r="K183">
        <v>136</v>
      </c>
    </row>
    <row r="184" spans="10:11" x14ac:dyDescent="0.3">
      <c r="J184" t="s">
        <v>20</v>
      </c>
      <c r="K184">
        <v>3318</v>
      </c>
    </row>
    <row r="185" spans="10:11" x14ac:dyDescent="0.3">
      <c r="J185" t="s">
        <v>14</v>
      </c>
      <c r="K185">
        <v>86</v>
      </c>
    </row>
    <row r="186" spans="10:11" x14ac:dyDescent="0.3">
      <c r="J186" t="s">
        <v>20</v>
      </c>
      <c r="K186">
        <v>340</v>
      </c>
    </row>
    <row r="187" spans="10:11" x14ac:dyDescent="0.3">
      <c r="J187" t="s">
        <v>14</v>
      </c>
      <c r="K187">
        <v>19</v>
      </c>
    </row>
    <row r="188" spans="10:11" x14ac:dyDescent="0.3">
      <c r="J188" t="s">
        <v>14</v>
      </c>
      <c r="K188">
        <v>886</v>
      </c>
    </row>
    <row r="189" spans="10:11" x14ac:dyDescent="0.3">
      <c r="J189" t="s">
        <v>20</v>
      </c>
      <c r="K189">
        <v>1442</v>
      </c>
    </row>
    <row r="190" spans="10:11" x14ac:dyDescent="0.3">
      <c r="J190" t="s">
        <v>14</v>
      </c>
      <c r="K190">
        <v>35</v>
      </c>
    </row>
    <row r="191" spans="10:11" x14ac:dyDescent="0.3">
      <c r="J191" t="s">
        <v>74</v>
      </c>
      <c r="K191">
        <v>441</v>
      </c>
    </row>
    <row r="192" spans="10:11" x14ac:dyDescent="0.3">
      <c r="J192" t="s">
        <v>14</v>
      </c>
      <c r="K192">
        <v>24</v>
      </c>
    </row>
    <row r="193" spans="10:11" x14ac:dyDescent="0.3">
      <c r="J193" t="s">
        <v>14</v>
      </c>
      <c r="K193">
        <v>86</v>
      </c>
    </row>
    <row r="194" spans="10:11" x14ac:dyDescent="0.3">
      <c r="J194" t="s">
        <v>14</v>
      </c>
      <c r="K194">
        <v>243</v>
      </c>
    </row>
    <row r="195" spans="10:11" x14ac:dyDescent="0.3">
      <c r="J195" t="s">
        <v>14</v>
      </c>
      <c r="K195">
        <v>65</v>
      </c>
    </row>
    <row r="196" spans="10:11" x14ac:dyDescent="0.3">
      <c r="J196" t="s">
        <v>20</v>
      </c>
      <c r="K196">
        <v>126</v>
      </c>
    </row>
    <row r="197" spans="10:11" x14ac:dyDescent="0.3">
      <c r="J197" t="s">
        <v>20</v>
      </c>
      <c r="K197">
        <v>524</v>
      </c>
    </row>
    <row r="198" spans="10:11" x14ac:dyDescent="0.3">
      <c r="J198" t="s">
        <v>14</v>
      </c>
      <c r="K198">
        <v>100</v>
      </c>
    </row>
    <row r="199" spans="10:11" x14ac:dyDescent="0.3">
      <c r="J199" t="s">
        <v>20</v>
      </c>
      <c r="K199">
        <v>1989</v>
      </c>
    </row>
    <row r="200" spans="10:11" x14ac:dyDescent="0.3">
      <c r="J200" t="s">
        <v>14</v>
      </c>
      <c r="K200">
        <v>168</v>
      </c>
    </row>
    <row r="201" spans="10:11" x14ac:dyDescent="0.3">
      <c r="J201" t="s">
        <v>14</v>
      </c>
      <c r="K201">
        <v>13</v>
      </c>
    </row>
    <row r="202" spans="10:11" x14ac:dyDescent="0.3">
      <c r="J202" t="s">
        <v>14</v>
      </c>
      <c r="K202">
        <v>1</v>
      </c>
    </row>
    <row r="203" spans="10:11" x14ac:dyDescent="0.3">
      <c r="J203" t="s">
        <v>20</v>
      </c>
      <c r="K203">
        <v>157</v>
      </c>
    </row>
    <row r="204" spans="10:11" x14ac:dyDescent="0.3">
      <c r="J204" t="s">
        <v>74</v>
      </c>
      <c r="K204">
        <v>82</v>
      </c>
    </row>
    <row r="205" spans="10:11" x14ac:dyDescent="0.3">
      <c r="J205" t="s">
        <v>20</v>
      </c>
      <c r="K205">
        <v>4498</v>
      </c>
    </row>
    <row r="206" spans="10:11" x14ac:dyDescent="0.3">
      <c r="J206" t="s">
        <v>14</v>
      </c>
      <c r="K206">
        <v>40</v>
      </c>
    </row>
    <row r="207" spans="10:11" x14ac:dyDescent="0.3">
      <c r="J207" t="s">
        <v>20</v>
      </c>
      <c r="K207">
        <v>80</v>
      </c>
    </row>
    <row r="208" spans="10:11" x14ac:dyDescent="0.3">
      <c r="J208" t="s">
        <v>74</v>
      </c>
      <c r="K208">
        <v>57</v>
      </c>
    </row>
    <row r="209" spans="10:11" x14ac:dyDescent="0.3">
      <c r="J209" t="s">
        <v>20</v>
      </c>
      <c r="K209">
        <v>43</v>
      </c>
    </row>
    <row r="210" spans="10:11" x14ac:dyDescent="0.3">
      <c r="J210" t="s">
        <v>20</v>
      </c>
      <c r="K210">
        <v>2053</v>
      </c>
    </row>
    <row r="211" spans="10:11" x14ac:dyDescent="0.3">
      <c r="J211" t="s">
        <v>47</v>
      </c>
      <c r="K211">
        <v>808</v>
      </c>
    </row>
    <row r="212" spans="10:11" x14ac:dyDescent="0.3">
      <c r="J212" t="s">
        <v>14</v>
      </c>
      <c r="K212">
        <v>226</v>
      </c>
    </row>
    <row r="213" spans="10:11" x14ac:dyDescent="0.3">
      <c r="J213" t="s">
        <v>14</v>
      </c>
      <c r="K213">
        <v>1625</v>
      </c>
    </row>
    <row r="214" spans="10:11" x14ac:dyDescent="0.3">
      <c r="J214" t="s">
        <v>20</v>
      </c>
      <c r="K214">
        <v>168</v>
      </c>
    </row>
    <row r="215" spans="10:11" x14ac:dyDescent="0.3">
      <c r="J215" t="s">
        <v>20</v>
      </c>
      <c r="K215">
        <v>4289</v>
      </c>
    </row>
    <row r="216" spans="10:11" x14ac:dyDescent="0.3">
      <c r="J216" t="s">
        <v>20</v>
      </c>
      <c r="K216">
        <v>165</v>
      </c>
    </row>
    <row r="217" spans="10:11" x14ac:dyDescent="0.3">
      <c r="J217" t="s">
        <v>14</v>
      </c>
      <c r="K217">
        <v>143</v>
      </c>
    </row>
    <row r="218" spans="10:11" x14ac:dyDescent="0.3">
      <c r="J218" t="s">
        <v>20</v>
      </c>
      <c r="K218">
        <v>1815</v>
      </c>
    </row>
    <row r="219" spans="10:11" x14ac:dyDescent="0.3">
      <c r="J219" t="s">
        <v>14</v>
      </c>
      <c r="K219">
        <v>934</v>
      </c>
    </row>
    <row r="220" spans="10:11" x14ac:dyDescent="0.3">
      <c r="J220" t="s">
        <v>20</v>
      </c>
      <c r="K220">
        <v>397</v>
      </c>
    </row>
    <row r="221" spans="10:11" x14ac:dyDescent="0.3">
      <c r="J221" t="s">
        <v>20</v>
      </c>
      <c r="K221">
        <v>1539</v>
      </c>
    </row>
    <row r="222" spans="10:11" x14ac:dyDescent="0.3">
      <c r="J222" t="s">
        <v>14</v>
      </c>
      <c r="K222">
        <v>17</v>
      </c>
    </row>
    <row r="223" spans="10:11" x14ac:dyDescent="0.3">
      <c r="J223" t="s">
        <v>14</v>
      </c>
      <c r="K223">
        <v>2179</v>
      </c>
    </row>
    <row r="224" spans="10:11" x14ac:dyDescent="0.3">
      <c r="J224" t="s">
        <v>20</v>
      </c>
      <c r="K224">
        <v>138</v>
      </c>
    </row>
    <row r="225" spans="10:11" x14ac:dyDescent="0.3">
      <c r="J225" t="s">
        <v>14</v>
      </c>
      <c r="K225">
        <v>931</v>
      </c>
    </row>
    <row r="226" spans="10:11" x14ac:dyDescent="0.3">
      <c r="J226" t="s">
        <v>20</v>
      </c>
      <c r="K226">
        <v>3594</v>
      </c>
    </row>
    <row r="227" spans="10:11" x14ac:dyDescent="0.3">
      <c r="J227" t="s">
        <v>20</v>
      </c>
      <c r="K227">
        <v>5880</v>
      </c>
    </row>
    <row r="228" spans="10:11" x14ac:dyDescent="0.3">
      <c r="J228" t="s">
        <v>20</v>
      </c>
      <c r="K228">
        <v>112</v>
      </c>
    </row>
    <row r="229" spans="10:11" x14ac:dyDescent="0.3">
      <c r="J229" t="s">
        <v>20</v>
      </c>
      <c r="K229">
        <v>943</v>
      </c>
    </row>
    <row r="230" spans="10:11" x14ac:dyDescent="0.3">
      <c r="J230" t="s">
        <v>20</v>
      </c>
      <c r="K230">
        <v>2468</v>
      </c>
    </row>
    <row r="231" spans="10:11" x14ac:dyDescent="0.3">
      <c r="J231" t="s">
        <v>20</v>
      </c>
      <c r="K231">
        <v>2551</v>
      </c>
    </row>
    <row r="232" spans="10:11" x14ac:dyDescent="0.3">
      <c r="J232" t="s">
        <v>20</v>
      </c>
      <c r="K232">
        <v>101</v>
      </c>
    </row>
    <row r="233" spans="10:11" x14ac:dyDescent="0.3">
      <c r="J233" t="s">
        <v>74</v>
      </c>
      <c r="K233">
        <v>67</v>
      </c>
    </row>
    <row r="234" spans="10:11" x14ac:dyDescent="0.3">
      <c r="J234" t="s">
        <v>20</v>
      </c>
      <c r="K234">
        <v>92</v>
      </c>
    </row>
    <row r="235" spans="10:11" x14ac:dyDescent="0.3">
      <c r="J235" t="s">
        <v>20</v>
      </c>
      <c r="K235">
        <v>62</v>
      </c>
    </row>
    <row r="236" spans="10:11" x14ac:dyDescent="0.3">
      <c r="J236" t="s">
        <v>20</v>
      </c>
      <c r="K236">
        <v>149</v>
      </c>
    </row>
    <row r="237" spans="10:11" x14ac:dyDescent="0.3">
      <c r="J237" t="s">
        <v>14</v>
      </c>
      <c r="K237">
        <v>92</v>
      </c>
    </row>
    <row r="238" spans="10:11" x14ac:dyDescent="0.3">
      <c r="J238" t="s">
        <v>14</v>
      </c>
      <c r="K238">
        <v>57</v>
      </c>
    </row>
    <row r="239" spans="10:11" x14ac:dyDescent="0.3">
      <c r="J239" t="s">
        <v>20</v>
      </c>
      <c r="K239">
        <v>329</v>
      </c>
    </row>
    <row r="240" spans="10:11" x14ac:dyDescent="0.3">
      <c r="J240" t="s">
        <v>20</v>
      </c>
      <c r="K240">
        <v>97</v>
      </c>
    </row>
    <row r="241" spans="10:11" x14ac:dyDescent="0.3">
      <c r="J241" t="s">
        <v>14</v>
      </c>
      <c r="K241">
        <v>41</v>
      </c>
    </row>
    <row r="242" spans="10:11" x14ac:dyDescent="0.3">
      <c r="J242" t="s">
        <v>20</v>
      </c>
      <c r="K242">
        <v>1784</v>
      </c>
    </row>
    <row r="243" spans="10:11" x14ac:dyDescent="0.3">
      <c r="J243" t="s">
        <v>20</v>
      </c>
      <c r="K243">
        <v>1684</v>
      </c>
    </row>
    <row r="244" spans="10:11" x14ac:dyDescent="0.3">
      <c r="J244" t="s">
        <v>20</v>
      </c>
      <c r="K244">
        <v>250</v>
      </c>
    </row>
    <row r="245" spans="10:11" x14ac:dyDescent="0.3">
      <c r="J245" t="s">
        <v>20</v>
      </c>
      <c r="K245">
        <v>238</v>
      </c>
    </row>
    <row r="246" spans="10:11" x14ac:dyDescent="0.3">
      <c r="J246" t="s">
        <v>20</v>
      </c>
      <c r="K246">
        <v>53</v>
      </c>
    </row>
    <row r="247" spans="10:11" x14ac:dyDescent="0.3">
      <c r="J247" t="s">
        <v>20</v>
      </c>
      <c r="K247">
        <v>214</v>
      </c>
    </row>
    <row r="248" spans="10:11" x14ac:dyDescent="0.3">
      <c r="J248" t="s">
        <v>20</v>
      </c>
      <c r="K248">
        <v>222</v>
      </c>
    </row>
    <row r="249" spans="10:11" x14ac:dyDescent="0.3">
      <c r="J249" t="s">
        <v>20</v>
      </c>
      <c r="K249">
        <v>1884</v>
      </c>
    </row>
    <row r="250" spans="10:11" x14ac:dyDescent="0.3">
      <c r="J250" t="s">
        <v>20</v>
      </c>
      <c r="K250">
        <v>218</v>
      </c>
    </row>
    <row r="251" spans="10:11" x14ac:dyDescent="0.3">
      <c r="J251" t="s">
        <v>20</v>
      </c>
      <c r="K251">
        <v>6465</v>
      </c>
    </row>
    <row r="252" spans="10:11" x14ac:dyDescent="0.3">
      <c r="J252" t="s">
        <v>14</v>
      </c>
      <c r="K252">
        <v>1</v>
      </c>
    </row>
    <row r="253" spans="10:11" x14ac:dyDescent="0.3">
      <c r="J253" t="s">
        <v>14</v>
      </c>
      <c r="K253">
        <v>101</v>
      </c>
    </row>
    <row r="254" spans="10:11" x14ac:dyDescent="0.3">
      <c r="J254" t="s">
        <v>20</v>
      </c>
      <c r="K254">
        <v>59</v>
      </c>
    </row>
    <row r="255" spans="10:11" x14ac:dyDescent="0.3">
      <c r="J255" t="s">
        <v>14</v>
      </c>
      <c r="K255">
        <v>1335</v>
      </c>
    </row>
    <row r="256" spans="10:11" x14ac:dyDescent="0.3">
      <c r="J256" t="s">
        <v>20</v>
      </c>
      <c r="K256">
        <v>88</v>
      </c>
    </row>
    <row r="257" spans="10:11" x14ac:dyDescent="0.3">
      <c r="J257" t="s">
        <v>20</v>
      </c>
      <c r="K257">
        <v>1697</v>
      </c>
    </row>
    <row r="258" spans="10:11" x14ac:dyDescent="0.3">
      <c r="J258" t="s">
        <v>14</v>
      </c>
      <c r="K258">
        <v>15</v>
      </c>
    </row>
    <row r="259" spans="10:11" x14ac:dyDescent="0.3">
      <c r="J259" t="s">
        <v>20</v>
      </c>
      <c r="K259">
        <v>92</v>
      </c>
    </row>
    <row r="260" spans="10:11" x14ac:dyDescent="0.3">
      <c r="J260" t="s">
        <v>20</v>
      </c>
      <c r="K260">
        <v>186</v>
      </c>
    </row>
    <row r="261" spans="10:11" x14ac:dyDescent="0.3">
      <c r="J261" t="s">
        <v>20</v>
      </c>
      <c r="K261">
        <v>138</v>
      </c>
    </row>
    <row r="262" spans="10:11" x14ac:dyDescent="0.3">
      <c r="J262" t="s">
        <v>20</v>
      </c>
      <c r="K262">
        <v>261</v>
      </c>
    </row>
    <row r="263" spans="10:11" x14ac:dyDescent="0.3">
      <c r="J263" t="s">
        <v>14</v>
      </c>
      <c r="K263">
        <v>454</v>
      </c>
    </row>
    <row r="264" spans="10:11" x14ac:dyDescent="0.3">
      <c r="J264" t="s">
        <v>20</v>
      </c>
      <c r="K264">
        <v>107</v>
      </c>
    </row>
    <row r="265" spans="10:11" x14ac:dyDescent="0.3">
      <c r="J265" t="s">
        <v>20</v>
      </c>
      <c r="K265">
        <v>199</v>
      </c>
    </row>
    <row r="266" spans="10:11" x14ac:dyDescent="0.3">
      <c r="J266" t="s">
        <v>20</v>
      </c>
      <c r="K266">
        <v>5512</v>
      </c>
    </row>
    <row r="267" spans="10:11" x14ac:dyDescent="0.3">
      <c r="J267" t="s">
        <v>20</v>
      </c>
      <c r="K267">
        <v>86</v>
      </c>
    </row>
    <row r="268" spans="10:11" x14ac:dyDescent="0.3">
      <c r="J268" t="s">
        <v>14</v>
      </c>
      <c r="K268">
        <v>3182</v>
      </c>
    </row>
    <row r="269" spans="10:11" x14ac:dyDescent="0.3">
      <c r="J269" t="s">
        <v>20</v>
      </c>
      <c r="K269">
        <v>2768</v>
      </c>
    </row>
    <row r="270" spans="10:11" x14ac:dyDescent="0.3">
      <c r="J270" t="s">
        <v>20</v>
      </c>
      <c r="K270">
        <v>48</v>
      </c>
    </row>
    <row r="271" spans="10:11" x14ac:dyDescent="0.3">
      <c r="J271" t="s">
        <v>20</v>
      </c>
      <c r="K271">
        <v>87</v>
      </c>
    </row>
    <row r="272" spans="10:11" x14ac:dyDescent="0.3">
      <c r="J272" t="s">
        <v>74</v>
      </c>
      <c r="K272">
        <v>1890</v>
      </c>
    </row>
    <row r="273" spans="10:11" x14ac:dyDescent="0.3">
      <c r="J273" t="s">
        <v>47</v>
      </c>
      <c r="K273">
        <v>61</v>
      </c>
    </row>
    <row r="274" spans="10:11" x14ac:dyDescent="0.3">
      <c r="J274" t="s">
        <v>20</v>
      </c>
      <c r="K274">
        <v>1894</v>
      </c>
    </row>
    <row r="275" spans="10:11" x14ac:dyDescent="0.3">
      <c r="J275" t="s">
        <v>20</v>
      </c>
      <c r="K275">
        <v>282</v>
      </c>
    </row>
    <row r="276" spans="10:11" x14ac:dyDescent="0.3">
      <c r="J276" t="s">
        <v>14</v>
      </c>
      <c r="K276">
        <v>15</v>
      </c>
    </row>
    <row r="277" spans="10:11" x14ac:dyDescent="0.3">
      <c r="J277" t="s">
        <v>20</v>
      </c>
      <c r="K277">
        <v>116</v>
      </c>
    </row>
    <row r="278" spans="10:11" x14ac:dyDescent="0.3">
      <c r="J278" t="s">
        <v>14</v>
      </c>
      <c r="K278">
        <v>133</v>
      </c>
    </row>
    <row r="279" spans="10:11" x14ac:dyDescent="0.3">
      <c r="J279" t="s">
        <v>20</v>
      </c>
      <c r="K279">
        <v>83</v>
      </c>
    </row>
    <row r="280" spans="10:11" x14ac:dyDescent="0.3">
      <c r="J280" t="s">
        <v>20</v>
      </c>
      <c r="K280">
        <v>91</v>
      </c>
    </row>
    <row r="281" spans="10:11" x14ac:dyDescent="0.3">
      <c r="J281" t="s">
        <v>20</v>
      </c>
      <c r="K281">
        <v>546</v>
      </c>
    </row>
    <row r="282" spans="10:11" x14ac:dyDescent="0.3">
      <c r="J282" t="s">
        <v>20</v>
      </c>
      <c r="K282">
        <v>393</v>
      </c>
    </row>
    <row r="283" spans="10:11" x14ac:dyDescent="0.3">
      <c r="J283" t="s">
        <v>14</v>
      </c>
      <c r="K283">
        <v>2062</v>
      </c>
    </row>
    <row r="284" spans="10:11" x14ac:dyDescent="0.3">
      <c r="J284" t="s">
        <v>20</v>
      </c>
      <c r="K284">
        <v>133</v>
      </c>
    </row>
    <row r="285" spans="10:11" x14ac:dyDescent="0.3">
      <c r="J285" t="s">
        <v>14</v>
      </c>
      <c r="K285">
        <v>29</v>
      </c>
    </row>
    <row r="286" spans="10:11" x14ac:dyDescent="0.3">
      <c r="J286" t="s">
        <v>14</v>
      </c>
      <c r="K286">
        <v>132</v>
      </c>
    </row>
    <row r="287" spans="10:11" x14ac:dyDescent="0.3">
      <c r="J287" t="s">
        <v>20</v>
      </c>
      <c r="K287">
        <v>254</v>
      </c>
    </row>
    <row r="288" spans="10:11" x14ac:dyDescent="0.3">
      <c r="J288" t="s">
        <v>74</v>
      </c>
      <c r="K288">
        <v>184</v>
      </c>
    </row>
    <row r="289" spans="10:11" x14ac:dyDescent="0.3">
      <c r="J289" t="s">
        <v>20</v>
      </c>
      <c r="K289">
        <v>176</v>
      </c>
    </row>
    <row r="290" spans="10:11" x14ac:dyDescent="0.3">
      <c r="J290" t="s">
        <v>14</v>
      </c>
      <c r="K290">
        <v>137</v>
      </c>
    </row>
    <row r="291" spans="10:11" x14ac:dyDescent="0.3">
      <c r="J291" t="s">
        <v>20</v>
      </c>
      <c r="K291">
        <v>337</v>
      </c>
    </row>
    <row r="292" spans="10:11" x14ac:dyDescent="0.3">
      <c r="J292" t="s">
        <v>14</v>
      </c>
      <c r="K292">
        <v>908</v>
      </c>
    </row>
    <row r="293" spans="10:11" x14ac:dyDescent="0.3">
      <c r="J293" t="s">
        <v>20</v>
      </c>
      <c r="K293">
        <v>107</v>
      </c>
    </row>
    <row r="294" spans="10:11" x14ac:dyDescent="0.3">
      <c r="J294" t="s">
        <v>14</v>
      </c>
      <c r="K294">
        <v>10</v>
      </c>
    </row>
    <row r="295" spans="10:11" x14ac:dyDescent="0.3">
      <c r="J295" t="s">
        <v>74</v>
      </c>
      <c r="K295">
        <v>32</v>
      </c>
    </row>
    <row r="296" spans="10:11" x14ac:dyDescent="0.3">
      <c r="J296" t="s">
        <v>20</v>
      </c>
      <c r="K296">
        <v>183</v>
      </c>
    </row>
    <row r="297" spans="10:11" x14ac:dyDescent="0.3">
      <c r="J297" t="s">
        <v>14</v>
      </c>
      <c r="K297">
        <v>1910</v>
      </c>
    </row>
    <row r="298" spans="10:11" x14ac:dyDescent="0.3">
      <c r="J298" t="s">
        <v>14</v>
      </c>
      <c r="K298">
        <v>38</v>
      </c>
    </row>
    <row r="299" spans="10:11" x14ac:dyDescent="0.3">
      <c r="J299" t="s">
        <v>14</v>
      </c>
      <c r="K299">
        <v>104</v>
      </c>
    </row>
    <row r="300" spans="10:11" x14ac:dyDescent="0.3">
      <c r="J300" t="s">
        <v>20</v>
      </c>
      <c r="K300">
        <v>72</v>
      </c>
    </row>
    <row r="301" spans="10:11" x14ac:dyDescent="0.3">
      <c r="J301" t="s">
        <v>14</v>
      </c>
      <c r="K301">
        <v>49</v>
      </c>
    </row>
    <row r="302" spans="10:11" x14ac:dyDescent="0.3">
      <c r="J302" t="s">
        <v>14</v>
      </c>
      <c r="K302">
        <v>1</v>
      </c>
    </row>
    <row r="303" spans="10:11" x14ac:dyDescent="0.3">
      <c r="J303" t="s">
        <v>20</v>
      </c>
      <c r="K303">
        <v>295</v>
      </c>
    </row>
    <row r="304" spans="10:11" x14ac:dyDescent="0.3">
      <c r="J304" t="s">
        <v>14</v>
      </c>
      <c r="K304">
        <v>245</v>
      </c>
    </row>
    <row r="305" spans="10:11" x14ac:dyDescent="0.3">
      <c r="J305" t="s">
        <v>14</v>
      </c>
      <c r="K305">
        <v>32</v>
      </c>
    </row>
    <row r="306" spans="10:11" x14ac:dyDescent="0.3">
      <c r="J306" t="s">
        <v>20</v>
      </c>
      <c r="K306">
        <v>142</v>
      </c>
    </row>
    <row r="307" spans="10:11" x14ac:dyDescent="0.3">
      <c r="J307" t="s">
        <v>20</v>
      </c>
      <c r="K307">
        <v>85</v>
      </c>
    </row>
    <row r="308" spans="10:11" x14ac:dyDescent="0.3">
      <c r="J308" t="s">
        <v>14</v>
      </c>
      <c r="K308">
        <v>7</v>
      </c>
    </row>
    <row r="309" spans="10:11" x14ac:dyDescent="0.3">
      <c r="J309" t="s">
        <v>20</v>
      </c>
      <c r="K309">
        <v>659</v>
      </c>
    </row>
    <row r="310" spans="10:11" x14ac:dyDescent="0.3">
      <c r="J310" t="s">
        <v>14</v>
      </c>
      <c r="K310">
        <v>803</v>
      </c>
    </row>
    <row r="311" spans="10:11" x14ac:dyDescent="0.3">
      <c r="J311" t="s">
        <v>74</v>
      </c>
      <c r="K311">
        <v>75</v>
      </c>
    </row>
    <row r="312" spans="10:11" x14ac:dyDescent="0.3">
      <c r="J312" t="s">
        <v>14</v>
      </c>
      <c r="K312">
        <v>16</v>
      </c>
    </row>
    <row r="313" spans="10:11" x14ac:dyDescent="0.3">
      <c r="J313" t="s">
        <v>20</v>
      </c>
      <c r="K313">
        <v>121</v>
      </c>
    </row>
    <row r="314" spans="10:11" x14ac:dyDescent="0.3">
      <c r="J314" t="s">
        <v>20</v>
      </c>
      <c r="K314">
        <v>3742</v>
      </c>
    </row>
    <row r="315" spans="10:11" x14ac:dyDescent="0.3">
      <c r="J315" t="s">
        <v>20</v>
      </c>
      <c r="K315">
        <v>223</v>
      </c>
    </row>
    <row r="316" spans="10:11" x14ac:dyDescent="0.3">
      <c r="J316" t="s">
        <v>20</v>
      </c>
      <c r="K316">
        <v>133</v>
      </c>
    </row>
    <row r="317" spans="10:11" x14ac:dyDescent="0.3">
      <c r="J317" t="s">
        <v>14</v>
      </c>
      <c r="K317">
        <v>31</v>
      </c>
    </row>
    <row r="318" spans="10:11" x14ac:dyDescent="0.3">
      <c r="J318" t="s">
        <v>14</v>
      </c>
      <c r="K318">
        <v>108</v>
      </c>
    </row>
    <row r="319" spans="10:11" x14ac:dyDescent="0.3">
      <c r="J319" t="s">
        <v>14</v>
      </c>
      <c r="K319">
        <v>30</v>
      </c>
    </row>
    <row r="320" spans="10:11" x14ac:dyDescent="0.3">
      <c r="J320" t="s">
        <v>14</v>
      </c>
      <c r="K320">
        <v>17</v>
      </c>
    </row>
    <row r="321" spans="10:11" x14ac:dyDescent="0.3">
      <c r="J321" t="s">
        <v>74</v>
      </c>
      <c r="K321">
        <v>64</v>
      </c>
    </row>
    <row r="322" spans="10:11" x14ac:dyDescent="0.3">
      <c r="J322" t="s">
        <v>14</v>
      </c>
      <c r="K322">
        <v>80</v>
      </c>
    </row>
    <row r="323" spans="10:11" x14ac:dyDescent="0.3">
      <c r="J323" t="s">
        <v>14</v>
      </c>
      <c r="K323">
        <v>2468</v>
      </c>
    </row>
    <row r="324" spans="10:11" x14ac:dyDescent="0.3">
      <c r="J324" t="s">
        <v>20</v>
      </c>
      <c r="K324">
        <v>5168</v>
      </c>
    </row>
    <row r="325" spans="10:11" x14ac:dyDescent="0.3">
      <c r="J325" t="s">
        <v>14</v>
      </c>
      <c r="K325">
        <v>26</v>
      </c>
    </row>
    <row r="326" spans="10:11" x14ac:dyDescent="0.3">
      <c r="J326" t="s">
        <v>20</v>
      </c>
      <c r="K326">
        <v>307</v>
      </c>
    </row>
    <row r="327" spans="10:11" x14ac:dyDescent="0.3">
      <c r="J327" t="s">
        <v>14</v>
      </c>
      <c r="K327">
        <v>73</v>
      </c>
    </row>
    <row r="328" spans="10:11" x14ac:dyDescent="0.3">
      <c r="J328" t="s">
        <v>14</v>
      </c>
      <c r="K328">
        <v>128</v>
      </c>
    </row>
    <row r="329" spans="10:11" x14ac:dyDescent="0.3">
      <c r="J329" t="s">
        <v>14</v>
      </c>
      <c r="K329">
        <v>33</v>
      </c>
    </row>
    <row r="330" spans="10:11" x14ac:dyDescent="0.3">
      <c r="J330" t="s">
        <v>20</v>
      </c>
      <c r="K330">
        <v>2441</v>
      </c>
    </row>
    <row r="331" spans="10:11" x14ac:dyDescent="0.3">
      <c r="J331" t="s">
        <v>47</v>
      </c>
      <c r="K331">
        <v>211</v>
      </c>
    </row>
    <row r="332" spans="10:11" x14ac:dyDescent="0.3">
      <c r="J332" t="s">
        <v>20</v>
      </c>
      <c r="K332">
        <v>1385</v>
      </c>
    </row>
    <row r="333" spans="10:11" x14ac:dyDescent="0.3">
      <c r="J333" t="s">
        <v>20</v>
      </c>
      <c r="K333">
        <v>190</v>
      </c>
    </row>
    <row r="334" spans="10:11" x14ac:dyDescent="0.3">
      <c r="J334" t="s">
        <v>20</v>
      </c>
      <c r="K334">
        <v>470</v>
      </c>
    </row>
    <row r="335" spans="10:11" x14ac:dyDescent="0.3">
      <c r="J335" t="s">
        <v>20</v>
      </c>
      <c r="K335">
        <v>253</v>
      </c>
    </row>
    <row r="336" spans="10:11" x14ac:dyDescent="0.3">
      <c r="J336" t="s">
        <v>20</v>
      </c>
      <c r="K336">
        <v>1113</v>
      </c>
    </row>
    <row r="337" spans="10:11" x14ac:dyDescent="0.3">
      <c r="J337" t="s">
        <v>20</v>
      </c>
      <c r="K337">
        <v>2283</v>
      </c>
    </row>
    <row r="338" spans="10:11" x14ac:dyDescent="0.3">
      <c r="J338" t="s">
        <v>14</v>
      </c>
      <c r="K338">
        <v>1072</v>
      </c>
    </row>
    <row r="339" spans="10:11" x14ac:dyDescent="0.3">
      <c r="J339" t="s">
        <v>20</v>
      </c>
      <c r="K339">
        <v>1095</v>
      </c>
    </row>
    <row r="340" spans="10:11" x14ac:dyDescent="0.3">
      <c r="J340" t="s">
        <v>20</v>
      </c>
      <c r="K340">
        <v>1690</v>
      </c>
    </row>
    <row r="341" spans="10:11" x14ac:dyDescent="0.3">
      <c r="J341" t="s">
        <v>74</v>
      </c>
      <c r="K341">
        <v>1297</v>
      </c>
    </row>
    <row r="342" spans="10:11" x14ac:dyDescent="0.3">
      <c r="J342" t="s">
        <v>14</v>
      </c>
      <c r="K342">
        <v>393</v>
      </c>
    </row>
    <row r="343" spans="10:11" x14ac:dyDescent="0.3">
      <c r="J343" t="s">
        <v>14</v>
      </c>
      <c r="K343">
        <v>1257</v>
      </c>
    </row>
    <row r="344" spans="10:11" x14ac:dyDescent="0.3">
      <c r="J344" t="s">
        <v>14</v>
      </c>
      <c r="K344">
        <v>328</v>
      </c>
    </row>
    <row r="345" spans="10:11" x14ac:dyDescent="0.3">
      <c r="J345" t="s">
        <v>14</v>
      </c>
      <c r="K345">
        <v>147</v>
      </c>
    </row>
    <row r="346" spans="10:11" x14ac:dyDescent="0.3">
      <c r="J346" t="s">
        <v>14</v>
      </c>
      <c r="K346">
        <v>830</v>
      </c>
    </row>
    <row r="347" spans="10:11" x14ac:dyDescent="0.3">
      <c r="J347" t="s">
        <v>14</v>
      </c>
      <c r="K347">
        <v>331</v>
      </c>
    </row>
    <row r="348" spans="10:11" x14ac:dyDescent="0.3">
      <c r="J348" t="s">
        <v>14</v>
      </c>
      <c r="K348">
        <v>25</v>
      </c>
    </row>
    <row r="349" spans="10:11" x14ac:dyDescent="0.3">
      <c r="J349" t="s">
        <v>20</v>
      </c>
      <c r="K349">
        <v>191</v>
      </c>
    </row>
    <row r="350" spans="10:11" x14ac:dyDescent="0.3">
      <c r="J350" t="s">
        <v>14</v>
      </c>
      <c r="K350">
        <v>3483</v>
      </c>
    </row>
    <row r="351" spans="10:11" x14ac:dyDescent="0.3">
      <c r="J351" t="s">
        <v>14</v>
      </c>
      <c r="K351">
        <v>923</v>
      </c>
    </row>
    <row r="352" spans="10:11" x14ac:dyDescent="0.3">
      <c r="J352" t="s">
        <v>14</v>
      </c>
      <c r="K352">
        <v>1</v>
      </c>
    </row>
    <row r="353" spans="10:11" x14ac:dyDescent="0.3">
      <c r="J353" t="s">
        <v>20</v>
      </c>
      <c r="K353">
        <v>2013</v>
      </c>
    </row>
    <row r="354" spans="10:11" x14ac:dyDescent="0.3">
      <c r="J354" t="s">
        <v>14</v>
      </c>
      <c r="K354">
        <v>33</v>
      </c>
    </row>
    <row r="355" spans="10:11" x14ac:dyDescent="0.3">
      <c r="J355" t="s">
        <v>20</v>
      </c>
      <c r="K355">
        <v>1703</v>
      </c>
    </row>
    <row r="356" spans="10:11" x14ac:dyDescent="0.3">
      <c r="J356" t="s">
        <v>20</v>
      </c>
      <c r="K356">
        <v>80</v>
      </c>
    </row>
    <row r="357" spans="10:11" x14ac:dyDescent="0.3">
      <c r="J357" t="s">
        <v>47</v>
      </c>
      <c r="K357">
        <v>86</v>
      </c>
    </row>
    <row r="358" spans="10:11" x14ac:dyDescent="0.3">
      <c r="J358" t="s">
        <v>14</v>
      </c>
      <c r="K358">
        <v>40</v>
      </c>
    </row>
    <row r="359" spans="10:11" x14ac:dyDescent="0.3">
      <c r="J359" t="s">
        <v>20</v>
      </c>
      <c r="K359">
        <v>41</v>
      </c>
    </row>
    <row r="360" spans="10:11" x14ac:dyDescent="0.3">
      <c r="J360" t="s">
        <v>14</v>
      </c>
      <c r="K360">
        <v>23</v>
      </c>
    </row>
    <row r="361" spans="10:11" x14ac:dyDescent="0.3">
      <c r="J361" t="s">
        <v>20</v>
      </c>
      <c r="K361">
        <v>187</v>
      </c>
    </row>
    <row r="362" spans="10:11" x14ac:dyDescent="0.3">
      <c r="J362" t="s">
        <v>20</v>
      </c>
      <c r="K362">
        <v>2875</v>
      </c>
    </row>
    <row r="363" spans="10:11" x14ac:dyDescent="0.3">
      <c r="J363" t="s">
        <v>20</v>
      </c>
      <c r="K363">
        <v>88</v>
      </c>
    </row>
    <row r="364" spans="10:11" x14ac:dyDescent="0.3">
      <c r="J364" t="s">
        <v>20</v>
      </c>
      <c r="K364">
        <v>191</v>
      </c>
    </row>
    <row r="365" spans="10:11" x14ac:dyDescent="0.3">
      <c r="J365" t="s">
        <v>20</v>
      </c>
      <c r="K365">
        <v>139</v>
      </c>
    </row>
    <row r="366" spans="10:11" x14ac:dyDescent="0.3">
      <c r="J366" t="s">
        <v>20</v>
      </c>
      <c r="K366">
        <v>186</v>
      </c>
    </row>
    <row r="367" spans="10:11" x14ac:dyDescent="0.3">
      <c r="J367" t="s">
        <v>20</v>
      </c>
      <c r="K367">
        <v>112</v>
      </c>
    </row>
    <row r="368" spans="10:11" x14ac:dyDescent="0.3">
      <c r="J368" t="s">
        <v>20</v>
      </c>
      <c r="K368">
        <v>101</v>
      </c>
    </row>
    <row r="369" spans="10:11" x14ac:dyDescent="0.3">
      <c r="J369" t="s">
        <v>14</v>
      </c>
      <c r="K369">
        <v>75</v>
      </c>
    </row>
    <row r="370" spans="10:11" x14ac:dyDescent="0.3">
      <c r="J370" t="s">
        <v>20</v>
      </c>
      <c r="K370">
        <v>206</v>
      </c>
    </row>
    <row r="371" spans="10:11" x14ac:dyDescent="0.3">
      <c r="J371" t="s">
        <v>20</v>
      </c>
      <c r="K371">
        <v>154</v>
      </c>
    </row>
    <row r="372" spans="10:11" x14ac:dyDescent="0.3">
      <c r="J372" t="s">
        <v>20</v>
      </c>
      <c r="K372">
        <v>5966</v>
      </c>
    </row>
    <row r="373" spans="10:11" x14ac:dyDescent="0.3">
      <c r="J373" t="s">
        <v>14</v>
      </c>
      <c r="K373">
        <v>2176</v>
      </c>
    </row>
    <row r="374" spans="10:11" x14ac:dyDescent="0.3">
      <c r="J374" t="s">
        <v>20</v>
      </c>
      <c r="K374">
        <v>169</v>
      </c>
    </row>
    <row r="375" spans="10:11" x14ac:dyDescent="0.3">
      <c r="J375" t="s">
        <v>20</v>
      </c>
      <c r="K375">
        <v>2106</v>
      </c>
    </row>
    <row r="376" spans="10:11" x14ac:dyDescent="0.3">
      <c r="J376" t="s">
        <v>14</v>
      </c>
      <c r="K376">
        <v>441</v>
      </c>
    </row>
    <row r="377" spans="10:11" x14ac:dyDescent="0.3">
      <c r="J377" t="s">
        <v>14</v>
      </c>
      <c r="K377">
        <v>25</v>
      </c>
    </row>
    <row r="378" spans="10:11" x14ac:dyDescent="0.3">
      <c r="J378" t="s">
        <v>20</v>
      </c>
      <c r="K378">
        <v>131</v>
      </c>
    </row>
    <row r="379" spans="10:11" x14ac:dyDescent="0.3">
      <c r="J379" t="s">
        <v>14</v>
      </c>
      <c r="K379">
        <v>127</v>
      </c>
    </row>
    <row r="380" spans="10:11" x14ac:dyDescent="0.3">
      <c r="J380" t="s">
        <v>14</v>
      </c>
      <c r="K380">
        <v>355</v>
      </c>
    </row>
    <row r="381" spans="10:11" x14ac:dyDescent="0.3">
      <c r="J381" t="s">
        <v>14</v>
      </c>
      <c r="K381">
        <v>44</v>
      </c>
    </row>
    <row r="382" spans="10:11" x14ac:dyDescent="0.3">
      <c r="J382" t="s">
        <v>20</v>
      </c>
      <c r="K382">
        <v>84</v>
      </c>
    </row>
    <row r="383" spans="10:11" x14ac:dyDescent="0.3">
      <c r="J383" t="s">
        <v>20</v>
      </c>
      <c r="K383">
        <v>155</v>
      </c>
    </row>
    <row r="384" spans="10:11" x14ac:dyDescent="0.3">
      <c r="J384" t="s">
        <v>14</v>
      </c>
      <c r="K384">
        <v>67</v>
      </c>
    </row>
    <row r="385" spans="10:11" x14ac:dyDescent="0.3">
      <c r="J385" t="s">
        <v>20</v>
      </c>
      <c r="K385">
        <v>189</v>
      </c>
    </row>
    <row r="386" spans="10:11" x14ac:dyDescent="0.3">
      <c r="J386" t="s">
        <v>20</v>
      </c>
      <c r="K386">
        <v>4799</v>
      </c>
    </row>
    <row r="387" spans="10:11" x14ac:dyDescent="0.3">
      <c r="J387" t="s">
        <v>20</v>
      </c>
      <c r="K387">
        <v>1137</v>
      </c>
    </row>
    <row r="388" spans="10:11" x14ac:dyDescent="0.3">
      <c r="J388" t="s">
        <v>14</v>
      </c>
      <c r="K388">
        <v>1068</v>
      </c>
    </row>
    <row r="389" spans="10:11" x14ac:dyDescent="0.3">
      <c r="J389" t="s">
        <v>14</v>
      </c>
      <c r="K389">
        <v>424</v>
      </c>
    </row>
    <row r="390" spans="10:11" x14ac:dyDescent="0.3">
      <c r="J390" t="s">
        <v>74</v>
      </c>
      <c r="K390">
        <v>145</v>
      </c>
    </row>
    <row r="391" spans="10:11" x14ac:dyDescent="0.3">
      <c r="J391" t="s">
        <v>20</v>
      </c>
      <c r="K391">
        <v>1152</v>
      </c>
    </row>
    <row r="392" spans="10:11" x14ac:dyDescent="0.3">
      <c r="J392" t="s">
        <v>20</v>
      </c>
      <c r="K392">
        <v>50</v>
      </c>
    </row>
    <row r="393" spans="10:11" x14ac:dyDescent="0.3">
      <c r="J393" t="s">
        <v>14</v>
      </c>
      <c r="K393">
        <v>151</v>
      </c>
    </row>
    <row r="394" spans="10:11" x14ac:dyDescent="0.3">
      <c r="J394" t="s">
        <v>14</v>
      </c>
      <c r="K394">
        <v>1608</v>
      </c>
    </row>
    <row r="395" spans="10:11" x14ac:dyDescent="0.3">
      <c r="J395" t="s">
        <v>20</v>
      </c>
      <c r="K395">
        <v>3059</v>
      </c>
    </row>
    <row r="396" spans="10:11" x14ac:dyDescent="0.3">
      <c r="J396" t="s">
        <v>20</v>
      </c>
      <c r="K396">
        <v>34</v>
      </c>
    </row>
    <row r="397" spans="10:11" x14ac:dyDescent="0.3">
      <c r="J397" t="s">
        <v>20</v>
      </c>
      <c r="K397">
        <v>220</v>
      </c>
    </row>
    <row r="398" spans="10:11" x14ac:dyDescent="0.3">
      <c r="J398" t="s">
        <v>20</v>
      </c>
      <c r="K398">
        <v>1604</v>
      </c>
    </row>
    <row r="399" spans="10:11" x14ac:dyDescent="0.3">
      <c r="J399" t="s">
        <v>20</v>
      </c>
      <c r="K399">
        <v>454</v>
      </c>
    </row>
    <row r="400" spans="10:11" x14ac:dyDescent="0.3">
      <c r="J400" t="s">
        <v>20</v>
      </c>
      <c r="K400">
        <v>123</v>
      </c>
    </row>
    <row r="401" spans="10:11" x14ac:dyDescent="0.3">
      <c r="J401" t="s">
        <v>14</v>
      </c>
      <c r="K401">
        <v>941</v>
      </c>
    </row>
    <row r="402" spans="10:11" x14ac:dyDescent="0.3">
      <c r="J402" t="s">
        <v>14</v>
      </c>
      <c r="K402">
        <v>1</v>
      </c>
    </row>
    <row r="403" spans="10:11" x14ac:dyDescent="0.3">
      <c r="J403" t="s">
        <v>20</v>
      </c>
      <c r="K403">
        <v>299</v>
      </c>
    </row>
    <row r="404" spans="10:11" x14ac:dyDescent="0.3">
      <c r="J404" t="s">
        <v>14</v>
      </c>
      <c r="K404">
        <v>40</v>
      </c>
    </row>
    <row r="405" spans="10:11" x14ac:dyDescent="0.3">
      <c r="J405" t="s">
        <v>14</v>
      </c>
      <c r="K405">
        <v>3015</v>
      </c>
    </row>
    <row r="406" spans="10:11" x14ac:dyDescent="0.3">
      <c r="J406" t="s">
        <v>20</v>
      </c>
      <c r="K406">
        <v>2237</v>
      </c>
    </row>
    <row r="407" spans="10:11" x14ac:dyDescent="0.3">
      <c r="J407" t="s">
        <v>14</v>
      </c>
      <c r="K407">
        <v>435</v>
      </c>
    </row>
    <row r="408" spans="10:11" x14ac:dyDescent="0.3">
      <c r="J408" t="s">
        <v>20</v>
      </c>
      <c r="K408">
        <v>645</v>
      </c>
    </row>
    <row r="409" spans="10:11" x14ac:dyDescent="0.3">
      <c r="J409" t="s">
        <v>20</v>
      </c>
      <c r="K409">
        <v>484</v>
      </c>
    </row>
    <row r="410" spans="10:11" x14ac:dyDescent="0.3">
      <c r="J410" t="s">
        <v>20</v>
      </c>
      <c r="K410">
        <v>154</v>
      </c>
    </row>
    <row r="411" spans="10:11" x14ac:dyDescent="0.3">
      <c r="J411" t="s">
        <v>14</v>
      </c>
      <c r="K411">
        <v>714</v>
      </c>
    </row>
    <row r="412" spans="10:11" x14ac:dyDescent="0.3">
      <c r="J412" t="s">
        <v>47</v>
      </c>
      <c r="K412">
        <v>1111</v>
      </c>
    </row>
    <row r="413" spans="10:11" x14ac:dyDescent="0.3">
      <c r="J413" t="s">
        <v>20</v>
      </c>
      <c r="K413">
        <v>82</v>
      </c>
    </row>
    <row r="414" spans="10:11" x14ac:dyDescent="0.3">
      <c r="J414" t="s">
        <v>20</v>
      </c>
      <c r="K414">
        <v>134</v>
      </c>
    </row>
    <row r="415" spans="10:11" x14ac:dyDescent="0.3">
      <c r="J415" t="s">
        <v>47</v>
      </c>
      <c r="K415">
        <v>1089</v>
      </c>
    </row>
    <row r="416" spans="10:11" x14ac:dyDescent="0.3">
      <c r="J416" t="s">
        <v>14</v>
      </c>
      <c r="K416">
        <v>5497</v>
      </c>
    </row>
    <row r="417" spans="10:11" x14ac:dyDescent="0.3">
      <c r="J417" t="s">
        <v>14</v>
      </c>
      <c r="K417">
        <v>418</v>
      </c>
    </row>
    <row r="418" spans="10:11" x14ac:dyDescent="0.3">
      <c r="J418" t="s">
        <v>14</v>
      </c>
      <c r="K418">
        <v>1439</v>
      </c>
    </row>
    <row r="419" spans="10:11" x14ac:dyDescent="0.3">
      <c r="J419" t="s">
        <v>14</v>
      </c>
      <c r="K419">
        <v>15</v>
      </c>
    </row>
    <row r="420" spans="10:11" x14ac:dyDescent="0.3">
      <c r="J420" t="s">
        <v>14</v>
      </c>
      <c r="K420">
        <v>1999</v>
      </c>
    </row>
    <row r="421" spans="10:11" x14ac:dyDescent="0.3">
      <c r="J421" t="s">
        <v>20</v>
      </c>
      <c r="K421">
        <v>5203</v>
      </c>
    </row>
    <row r="422" spans="10:11" x14ac:dyDescent="0.3">
      <c r="J422" t="s">
        <v>20</v>
      </c>
      <c r="K422">
        <v>94</v>
      </c>
    </row>
    <row r="423" spans="10:11" x14ac:dyDescent="0.3">
      <c r="J423" t="s">
        <v>14</v>
      </c>
      <c r="K423">
        <v>118</v>
      </c>
    </row>
    <row r="424" spans="10:11" x14ac:dyDescent="0.3">
      <c r="J424" t="s">
        <v>20</v>
      </c>
      <c r="K424">
        <v>205</v>
      </c>
    </row>
    <row r="425" spans="10:11" x14ac:dyDescent="0.3">
      <c r="J425" t="s">
        <v>14</v>
      </c>
      <c r="K425">
        <v>162</v>
      </c>
    </row>
    <row r="426" spans="10:11" x14ac:dyDescent="0.3">
      <c r="J426" t="s">
        <v>14</v>
      </c>
      <c r="K426">
        <v>83</v>
      </c>
    </row>
    <row r="427" spans="10:11" x14ac:dyDescent="0.3">
      <c r="J427" t="s">
        <v>20</v>
      </c>
      <c r="K427">
        <v>92</v>
      </c>
    </row>
    <row r="428" spans="10:11" x14ac:dyDescent="0.3">
      <c r="J428" t="s">
        <v>20</v>
      </c>
      <c r="K428">
        <v>219</v>
      </c>
    </row>
    <row r="429" spans="10:11" x14ac:dyDescent="0.3">
      <c r="J429" t="s">
        <v>20</v>
      </c>
      <c r="K429">
        <v>2526</v>
      </c>
    </row>
    <row r="430" spans="10:11" x14ac:dyDescent="0.3">
      <c r="J430" t="s">
        <v>14</v>
      </c>
      <c r="K430">
        <v>747</v>
      </c>
    </row>
    <row r="431" spans="10:11" x14ac:dyDescent="0.3">
      <c r="J431" t="s">
        <v>74</v>
      </c>
      <c r="K431">
        <v>2138</v>
      </c>
    </row>
    <row r="432" spans="10:11" x14ac:dyDescent="0.3">
      <c r="J432" t="s">
        <v>14</v>
      </c>
      <c r="K432">
        <v>84</v>
      </c>
    </row>
    <row r="433" spans="10:11" x14ac:dyDescent="0.3">
      <c r="J433" t="s">
        <v>20</v>
      </c>
      <c r="K433">
        <v>94</v>
      </c>
    </row>
    <row r="434" spans="10:11" x14ac:dyDescent="0.3">
      <c r="J434" t="s">
        <v>14</v>
      </c>
      <c r="K434">
        <v>91</v>
      </c>
    </row>
    <row r="435" spans="10:11" x14ac:dyDescent="0.3">
      <c r="J435" t="s">
        <v>14</v>
      </c>
      <c r="K435">
        <v>792</v>
      </c>
    </row>
    <row r="436" spans="10:11" x14ac:dyDescent="0.3">
      <c r="J436" t="s">
        <v>74</v>
      </c>
      <c r="K436">
        <v>10</v>
      </c>
    </row>
    <row r="437" spans="10:11" x14ac:dyDescent="0.3">
      <c r="J437" t="s">
        <v>20</v>
      </c>
      <c r="K437">
        <v>1713</v>
      </c>
    </row>
    <row r="438" spans="10:11" x14ac:dyDescent="0.3">
      <c r="J438" t="s">
        <v>20</v>
      </c>
      <c r="K438">
        <v>249</v>
      </c>
    </row>
    <row r="439" spans="10:11" x14ac:dyDescent="0.3">
      <c r="J439" t="s">
        <v>20</v>
      </c>
      <c r="K439">
        <v>192</v>
      </c>
    </row>
    <row r="440" spans="10:11" x14ac:dyDescent="0.3">
      <c r="J440" t="s">
        <v>20</v>
      </c>
      <c r="K440">
        <v>247</v>
      </c>
    </row>
    <row r="441" spans="10:11" x14ac:dyDescent="0.3">
      <c r="J441" t="s">
        <v>20</v>
      </c>
      <c r="K441">
        <v>2293</v>
      </c>
    </row>
    <row r="442" spans="10:11" x14ac:dyDescent="0.3">
      <c r="J442" t="s">
        <v>20</v>
      </c>
      <c r="K442">
        <v>3131</v>
      </c>
    </row>
    <row r="443" spans="10:11" x14ac:dyDescent="0.3">
      <c r="J443" t="s">
        <v>14</v>
      </c>
      <c r="K443">
        <v>32</v>
      </c>
    </row>
    <row r="444" spans="10:11" x14ac:dyDescent="0.3">
      <c r="J444" t="s">
        <v>20</v>
      </c>
      <c r="K444">
        <v>143</v>
      </c>
    </row>
    <row r="445" spans="10:11" x14ac:dyDescent="0.3">
      <c r="J445" t="s">
        <v>74</v>
      </c>
      <c r="K445">
        <v>90</v>
      </c>
    </row>
    <row r="446" spans="10:11" x14ac:dyDescent="0.3">
      <c r="J446" t="s">
        <v>20</v>
      </c>
      <c r="K446">
        <v>296</v>
      </c>
    </row>
    <row r="447" spans="10:11" x14ac:dyDescent="0.3">
      <c r="J447" t="s">
        <v>20</v>
      </c>
      <c r="K447">
        <v>170</v>
      </c>
    </row>
    <row r="448" spans="10:11" x14ac:dyDescent="0.3">
      <c r="J448" t="s">
        <v>14</v>
      </c>
      <c r="K448">
        <v>186</v>
      </c>
    </row>
    <row r="449" spans="10:11" x14ac:dyDescent="0.3">
      <c r="J449" t="s">
        <v>74</v>
      </c>
      <c r="K449">
        <v>439</v>
      </c>
    </row>
    <row r="450" spans="10:11" x14ac:dyDescent="0.3">
      <c r="J450" t="s">
        <v>14</v>
      </c>
      <c r="K450">
        <v>605</v>
      </c>
    </row>
    <row r="451" spans="10:11" x14ac:dyDescent="0.3">
      <c r="J451" t="s">
        <v>20</v>
      </c>
      <c r="K451">
        <v>86</v>
      </c>
    </row>
    <row r="452" spans="10:11" x14ac:dyDescent="0.3">
      <c r="J452" t="s">
        <v>14</v>
      </c>
      <c r="K452">
        <v>1</v>
      </c>
    </row>
    <row r="453" spans="10:11" x14ac:dyDescent="0.3">
      <c r="J453" t="s">
        <v>20</v>
      </c>
      <c r="K453">
        <v>6286</v>
      </c>
    </row>
    <row r="454" spans="10:11" x14ac:dyDescent="0.3">
      <c r="J454" t="s">
        <v>14</v>
      </c>
      <c r="K454">
        <v>31</v>
      </c>
    </row>
    <row r="455" spans="10:11" x14ac:dyDescent="0.3">
      <c r="J455" t="s">
        <v>14</v>
      </c>
      <c r="K455">
        <v>1181</v>
      </c>
    </row>
    <row r="456" spans="10:11" x14ac:dyDescent="0.3">
      <c r="J456" t="s">
        <v>14</v>
      </c>
      <c r="K456">
        <v>39</v>
      </c>
    </row>
    <row r="457" spans="10:11" x14ac:dyDescent="0.3">
      <c r="J457" t="s">
        <v>20</v>
      </c>
      <c r="K457">
        <v>3727</v>
      </c>
    </row>
    <row r="458" spans="10:11" x14ac:dyDescent="0.3">
      <c r="J458" t="s">
        <v>20</v>
      </c>
      <c r="K458">
        <v>1605</v>
      </c>
    </row>
    <row r="459" spans="10:11" x14ac:dyDescent="0.3">
      <c r="J459" t="s">
        <v>14</v>
      </c>
      <c r="K459">
        <v>46</v>
      </c>
    </row>
    <row r="460" spans="10:11" x14ac:dyDescent="0.3">
      <c r="J460" t="s">
        <v>20</v>
      </c>
      <c r="K460">
        <v>2120</v>
      </c>
    </row>
    <row r="461" spans="10:11" x14ac:dyDescent="0.3">
      <c r="J461" t="s">
        <v>14</v>
      </c>
      <c r="K461">
        <v>105</v>
      </c>
    </row>
    <row r="462" spans="10:11" x14ac:dyDescent="0.3">
      <c r="J462" t="s">
        <v>20</v>
      </c>
      <c r="K462">
        <v>50</v>
      </c>
    </row>
    <row r="463" spans="10:11" x14ac:dyDescent="0.3">
      <c r="J463" t="s">
        <v>20</v>
      </c>
      <c r="K463">
        <v>2080</v>
      </c>
    </row>
    <row r="464" spans="10:11" x14ac:dyDescent="0.3">
      <c r="J464" t="s">
        <v>14</v>
      </c>
      <c r="K464">
        <v>535</v>
      </c>
    </row>
    <row r="465" spans="10:11" x14ac:dyDescent="0.3">
      <c r="J465" t="s">
        <v>20</v>
      </c>
      <c r="K465">
        <v>2105</v>
      </c>
    </row>
    <row r="466" spans="10:11" x14ac:dyDescent="0.3">
      <c r="J466" t="s">
        <v>20</v>
      </c>
      <c r="K466">
        <v>2436</v>
      </c>
    </row>
    <row r="467" spans="10:11" x14ac:dyDescent="0.3">
      <c r="J467" t="s">
        <v>20</v>
      </c>
      <c r="K467">
        <v>80</v>
      </c>
    </row>
    <row r="468" spans="10:11" x14ac:dyDescent="0.3">
      <c r="J468" t="s">
        <v>20</v>
      </c>
      <c r="K468">
        <v>42</v>
      </c>
    </row>
    <row r="469" spans="10:11" x14ac:dyDescent="0.3">
      <c r="J469" t="s">
        <v>20</v>
      </c>
      <c r="K469">
        <v>139</v>
      </c>
    </row>
    <row r="470" spans="10:11" x14ac:dyDescent="0.3">
      <c r="J470" t="s">
        <v>14</v>
      </c>
      <c r="K470">
        <v>16</v>
      </c>
    </row>
    <row r="471" spans="10:11" x14ac:dyDescent="0.3">
      <c r="J471" t="s">
        <v>20</v>
      </c>
      <c r="K471">
        <v>159</v>
      </c>
    </row>
    <row r="472" spans="10:11" x14ac:dyDescent="0.3">
      <c r="J472" t="s">
        <v>20</v>
      </c>
      <c r="K472">
        <v>381</v>
      </c>
    </row>
    <row r="473" spans="10:11" x14ac:dyDescent="0.3">
      <c r="J473" t="s">
        <v>20</v>
      </c>
      <c r="K473">
        <v>194</v>
      </c>
    </row>
    <row r="474" spans="10:11" x14ac:dyDescent="0.3">
      <c r="J474" t="s">
        <v>14</v>
      </c>
      <c r="K474">
        <v>575</v>
      </c>
    </row>
    <row r="475" spans="10:11" x14ac:dyDescent="0.3">
      <c r="J475" t="s">
        <v>20</v>
      </c>
      <c r="K475">
        <v>106</v>
      </c>
    </row>
    <row r="476" spans="10:11" x14ac:dyDescent="0.3">
      <c r="J476" t="s">
        <v>20</v>
      </c>
      <c r="K476">
        <v>142</v>
      </c>
    </row>
    <row r="477" spans="10:11" x14ac:dyDescent="0.3">
      <c r="J477" t="s">
        <v>20</v>
      </c>
      <c r="K477">
        <v>211</v>
      </c>
    </row>
    <row r="478" spans="10:11" x14ac:dyDescent="0.3">
      <c r="J478" t="s">
        <v>14</v>
      </c>
      <c r="K478">
        <v>1120</v>
      </c>
    </row>
    <row r="479" spans="10:11" x14ac:dyDescent="0.3">
      <c r="J479" t="s">
        <v>14</v>
      </c>
      <c r="K479">
        <v>113</v>
      </c>
    </row>
    <row r="480" spans="10:11" x14ac:dyDescent="0.3">
      <c r="J480" t="s">
        <v>20</v>
      </c>
      <c r="K480">
        <v>2756</v>
      </c>
    </row>
    <row r="481" spans="10:11" x14ac:dyDescent="0.3">
      <c r="J481" t="s">
        <v>20</v>
      </c>
      <c r="K481">
        <v>173</v>
      </c>
    </row>
    <row r="482" spans="10:11" x14ac:dyDescent="0.3">
      <c r="J482" t="s">
        <v>20</v>
      </c>
      <c r="K482">
        <v>87</v>
      </c>
    </row>
    <row r="483" spans="10:11" x14ac:dyDescent="0.3">
      <c r="J483" t="s">
        <v>14</v>
      </c>
      <c r="K483">
        <v>1538</v>
      </c>
    </row>
    <row r="484" spans="10:11" x14ac:dyDescent="0.3">
      <c r="J484" t="s">
        <v>14</v>
      </c>
      <c r="K484">
        <v>9</v>
      </c>
    </row>
    <row r="485" spans="10:11" x14ac:dyDescent="0.3">
      <c r="J485" t="s">
        <v>14</v>
      </c>
      <c r="K485">
        <v>554</v>
      </c>
    </row>
    <row r="486" spans="10:11" x14ac:dyDescent="0.3">
      <c r="J486" t="s">
        <v>20</v>
      </c>
      <c r="K486">
        <v>1572</v>
      </c>
    </row>
    <row r="487" spans="10:11" x14ac:dyDescent="0.3">
      <c r="J487" t="s">
        <v>14</v>
      </c>
      <c r="K487">
        <v>648</v>
      </c>
    </row>
    <row r="488" spans="10:11" x14ac:dyDescent="0.3">
      <c r="J488" t="s">
        <v>14</v>
      </c>
      <c r="K488">
        <v>21</v>
      </c>
    </row>
    <row r="489" spans="10:11" x14ac:dyDescent="0.3">
      <c r="J489" t="s">
        <v>20</v>
      </c>
      <c r="K489">
        <v>2346</v>
      </c>
    </row>
    <row r="490" spans="10:11" x14ac:dyDescent="0.3">
      <c r="J490" t="s">
        <v>20</v>
      </c>
      <c r="K490">
        <v>115</v>
      </c>
    </row>
    <row r="491" spans="10:11" x14ac:dyDescent="0.3">
      <c r="J491" t="s">
        <v>20</v>
      </c>
      <c r="K491">
        <v>85</v>
      </c>
    </row>
    <row r="492" spans="10:11" x14ac:dyDescent="0.3">
      <c r="J492" t="s">
        <v>20</v>
      </c>
      <c r="K492">
        <v>144</v>
      </c>
    </row>
    <row r="493" spans="10:11" x14ac:dyDescent="0.3">
      <c r="J493" t="s">
        <v>20</v>
      </c>
      <c r="K493">
        <v>2443</v>
      </c>
    </row>
    <row r="494" spans="10:11" x14ac:dyDescent="0.3">
      <c r="J494" t="s">
        <v>74</v>
      </c>
      <c r="K494">
        <v>595</v>
      </c>
    </row>
    <row r="495" spans="10:11" x14ac:dyDescent="0.3">
      <c r="J495" t="s">
        <v>20</v>
      </c>
      <c r="K495">
        <v>64</v>
      </c>
    </row>
    <row r="496" spans="10:11" x14ac:dyDescent="0.3">
      <c r="J496" t="s">
        <v>20</v>
      </c>
      <c r="K496">
        <v>268</v>
      </c>
    </row>
    <row r="497" spans="10:11" x14ac:dyDescent="0.3">
      <c r="J497" t="s">
        <v>20</v>
      </c>
      <c r="K497">
        <v>195</v>
      </c>
    </row>
    <row r="498" spans="10:11" x14ac:dyDescent="0.3">
      <c r="J498" t="s">
        <v>14</v>
      </c>
      <c r="K498">
        <v>54</v>
      </c>
    </row>
    <row r="499" spans="10:11" x14ac:dyDescent="0.3">
      <c r="J499" t="s">
        <v>14</v>
      </c>
      <c r="K499">
        <v>120</v>
      </c>
    </row>
    <row r="500" spans="10:11" x14ac:dyDescent="0.3">
      <c r="J500" t="s">
        <v>14</v>
      </c>
      <c r="K500">
        <v>579</v>
      </c>
    </row>
    <row r="501" spans="10:11" x14ac:dyDescent="0.3">
      <c r="J501" t="s">
        <v>14</v>
      </c>
      <c r="K501">
        <v>2072</v>
      </c>
    </row>
    <row r="502" spans="10:11" x14ac:dyDescent="0.3">
      <c r="J502" t="s">
        <v>14</v>
      </c>
      <c r="K502">
        <v>0</v>
      </c>
    </row>
    <row r="503" spans="10:11" x14ac:dyDescent="0.3">
      <c r="J503" t="s">
        <v>14</v>
      </c>
      <c r="K503">
        <v>1796</v>
      </c>
    </row>
    <row r="504" spans="10:11" x14ac:dyDescent="0.3">
      <c r="J504" t="s">
        <v>20</v>
      </c>
      <c r="K504">
        <v>186</v>
      </c>
    </row>
    <row r="505" spans="10:11" x14ac:dyDescent="0.3">
      <c r="J505" t="s">
        <v>20</v>
      </c>
      <c r="K505">
        <v>460</v>
      </c>
    </row>
    <row r="506" spans="10:11" x14ac:dyDescent="0.3">
      <c r="J506" t="s">
        <v>14</v>
      </c>
      <c r="K506">
        <v>62</v>
      </c>
    </row>
    <row r="507" spans="10:11" x14ac:dyDescent="0.3">
      <c r="J507" t="s">
        <v>14</v>
      </c>
      <c r="K507">
        <v>347</v>
      </c>
    </row>
    <row r="508" spans="10:11" x14ac:dyDescent="0.3">
      <c r="J508" t="s">
        <v>20</v>
      </c>
      <c r="K508">
        <v>2528</v>
      </c>
    </row>
    <row r="509" spans="10:11" x14ac:dyDescent="0.3">
      <c r="J509" t="s">
        <v>14</v>
      </c>
      <c r="K509">
        <v>19</v>
      </c>
    </row>
    <row r="510" spans="10:11" x14ac:dyDescent="0.3">
      <c r="J510" t="s">
        <v>20</v>
      </c>
      <c r="K510">
        <v>3657</v>
      </c>
    </row>
    <row r="511" spans="10:11" x14ac:dyDescent="0.3">
      <c r="J511" t="s">
        <v>14</v>
      </c>
      <c r="K511">
        <v>1258</v>
      </c>
    </row>
    <row r="512" spans="10:11" x14ac:dyDescent="0.3">
      <c r="J512" t="s">
        <v>20</v>
      </c>
      <c r="K512">
        <v>131</v>
      </c>
    </row>
    <row r="513" spans="10:11" x14ac:dyDescent="0.3">
      <c r="J513" t="s">
        <v>14</v>
      </c>
      <c r="K513">
        <v>362</v>
      </c>
    </row>
    <row r="514" spans="10:11" x14ac:dyDescent="0.3">
      <c r="J514" t="s">
        <v>20</v>
      </c>
      <c r="K514">
        <v>239</v>
      </c>
    </row>
    <row r="515" spans="10:11" x14ac:dyDescent="0.3">
      <c r="J515" t="s">
        <v>74</v>
      </c>
      <c r="K515">
        <v>35</v>
      </c>
    </row>
    <row r="516" spans="10:11" x14ac:dyDescent="0.3">
      <c r="J516" t="s">
        <v>74</v>
      </c>
      <c r="K516">
        <v>528</v>
      </c>
    </row>
    <row r="517" spans="10:11" x14ac:dyDescent="0.3">
      <c r="J517" t="s">
        <v>14</v>
      </c>
      <c r="K517">
        <v>133</v>
      </c>
    </row>
    <row r="518" spans="10:11" x14ac:dyDescent="0.3">
      <c r="J518" t="s">
        <v>14</v>
      </c>
      <c r="K518">
        <v>846</v>
      </c>
    </row>
    <row r="519" spans="10:11" x14ac:dyDescent="0.3">
      <c r="J519" t="s">
        <v>20</v>
      </c>
      <c r="K519">
        <v>78</v>
      </c>
    </row>
    <row r="520" spans="10:11" x14ac:dyDescent="0.3">
      <c r="J520" t="s">
        <v>14</v>
      </c>
      <c r="K520">
        <v>10</v>
      </c>
    </row>
    <row r="521" spans="10:11" x14ac:dyDescent="0.3">
      <c r="J521" t="s">
        <v>20</v>
      </c>
      <c r="K521">
        <v>1773</v>
      </c>
    </row>
    <row r="522" spans="10:11" x14ac:dyDescent="0.3">
      <c r="J522" t="s">
        <v>20</v>
      </c>
      <c r="K522">
        <v>32</v>
      </c>
    </row>
    <row r="523" spans="10:11" x14ac:dyDescent="0.3">
      <c r="J523" t="s">
        <v>20</v>
      </c>
      <c r="K523">
        <v>369</v>
      </c>
    </row>
    <row r="524" spans="10:11" x14ac:dyDescent="0.3">
      <c r="J524" t="s">
        <v>14</v>
      </c>
      <c r="K524">
        <v>191</v>
      </c>
    </row>
    <row r="525" spans="10:11" x14ac:dyDescent="0.3">
      <c r="J525" t="s">
        <v>20</v>
      </c>
      <c r="K525">
        <v>89</v>
      </c>
    </row>
    <row r="526" spans="10:11" x14ac:dyDescent="0.3">
      <c r="J526" t="s">
        <v>14</v>
      </c>
      <c r="K526">
        <v>1979</v>
      </c>
    </row>
    <row r="527" spans="10:11" x14ac:dyDescent="0.3">
      <c r="J527" t="s">
        <v>14</v>
      </c>
      <c r="K527">
        <v>63</v>
      </c>
    </row>
    <row r="528" spans="10:11" x14ac:dyDescent="0.3">
      <c r="J528" t="s">
        <v>20</v>
      </c>
      <c r="K528">
        <v>147</v>
      </c>
    </row>
    <row r="529" spans="10:11" x14ac:dyDescent="0.3">
      <c r="J529" t="s">
        <v>14</v>
      </c>
      <c r="K529">
        <v>6080</v>
      </c>
    </row>
    <row r="530" spans="10:11" x14ac:dyDescent="0.3">
      <c r="J530" t="s">
        <v>14</v>
      </c>
      <c r="K530">
        <v>80</v>
      </c>
    </row>
    <row r="531" spans="10:11" x14ac:dyDescent="0.3">
      <c r="J531" t="s">
        <v>14</v>
      </c>
      <c r="K531">
        <v>9</v>
      </c>
    </row>
    <row r="532" spans="10:11" x14ac:dyDescent="0.3">
      <c r="J532" t="s">
        <v>14</v>
      </c>
      <c r="K532">
        <v>1784</v>
      </c>
    </row>
    <row r="533" spans="10:11" x14ac:dyDescent="0.3">
      <c r="J533" t="s">
        <v>47</v>
      </c>
      <c r="K533">
        <v>3640</v>
      </c>
    </row>
    <row r="534" spans="10:11" x14ac:dyDescent="0.3">
      <c r="J534" t="s">
        <v>20</v>
      </c>
      <c r="K534">
        <v>126</v>
      </c>
    </row>
    <row r="535" spans="10:11" x14ac:dyDescent="0.3">
      <c r="J535" t="s">
        <v>20</v>
      </c>
      <c r="K535">
        <v>2218</v>
      </c>
    </row>
    <row r="536" spans="10:11" x14ac:dyDescent="0.3">
      <c r="J536" t="s">
        <v>14</v>
      </c>
      <c r="K536">
        <v>243</v>
      </c>
    </row>
    <row r="537" spans="10:11" x14ac:dyDescent="0.3">
      <c r="J537" t="s">
        <v>20</v>
      </c>
      <c r="K537">
        <v>202</v>
      </c>
    </row>
    <row r="538" spans="10:11" x14ac:dyDescent="0.3">
      <c r="J538" t="s">
        <v>20</v>
      </c>
      <c r="K538">
        <v>140</v>
      </c>
    </row>
    <row r="539" spans="10:11" x14ac:dyDescent="0.3">
      <c r="J539" t="s">
        <v>20</v>
      </c>
      <c r="K539">
        <v>1052</v>
      </c>
    </row>
    <row r="540" spans="10:11" x14ac:dyDescent="0.3">
      <c r="J540" t="s">
        <v>14</v>
      </c>
      <c r="K540">
        <v>1296</v>
      </c>
    </row>
    <row r="541" spans="10:11" x14ac:dyDescent="0.3">
      <c r="J541" t="s">
        <v>14</v>
      </c>
      <c r="K541">
        <v>77</v>
      </c>
    </row>
    <row r="542" spans="10:11" x14ac:dyDescent="0.3">
      <c r="J542" t="s">
        <v>20</v>
      </c>
      <c r="K542">
        <v>247</v>
      </c>
    </row>
    <row r="543" spans="10:11" x14ac:dyDescent="0.3">
      <c r="J543" t="s">
        <v>14</v>
      </c>
      <c r="K543">
        <v>395</v>
      </c>
    </row>
    <row r="544" spans="10:11" x14ac:dyDescent="0.3">
      <c r="J544" t="s">
        <v>14</v>
      </c>
      <c r="K544">
        <v>49</v>
      </c>
    </row>
    <row r="545" spans="10:11" x14ac:dyDescent="0.3">
      <c r="J545" t="s">
        <v>14</v>
      </c>
      <c r="K545">
        <v>180</v>
      </c>
    </row>
    <row r="546" spans="10:11" x14ac:dyDescent="0.3">
      <c r="J546" t="s">
        <v>20</v>
      </c>
      <c r="K546">
        <v>84</v>
      </c>
    </row>
    <row r="547" spans="10:11" x14ac:dyDescent="0.3">
      <c r="J547" t="s">
        <v>14</v>
      </c>
      <c r="K547">
        <v>2690</v>
      </c>
    </row>
    <row r="548" spans="10:11" x14ac:dyDescent="0.3">
      <c r="J548" t="s">
        <v>20</v>
      </c>
      <c r="K548">
        <v>88</v>
      </c>
    </row>
    <row r="549" spans="10:11" x14ac:dyDescent="0.3">
      <c r="J549" t="s">
        <v>20</v>
      </c>
      <c r="K549">
        <v>156</v>
      </c>
    </row>
    <row r="550" spans="10:11" x14ac:dyDescent="0.3">
      <c r="J550" t="s">
        <v>20</v>
      </c>
      <c r="K550">
        <v>2985</v>
      </c>
    </row>
    <row r="551" spans="10:11" x14ac:dyDescent="0.3">
      <c r="J551" t="s">
        <v>20</v>
      </c>
      <c r="K551">
        <v>762</v>
      </c>
    </row>
    <row r="552" spans="10:11" x14ac:dyDescent="0.3">
      <c r="J552" t="s">
        <v>74</v>
      </c>
      <c r="K552">
        <v>1</v>
      </c>
    </row>
    <row r="553" spans="10:11" x14ac:dyDescent="0.3">
      <c r="J553" t="s">
        <v>14</v>
      </c>
      <c r="K553">
        <v>2779</v>
      </c>
    </row>
    <row r="554" spans="10:11" x14ac:dyDescent="0.3">
      <c r="J554" t="s">
        <v>14</v>
      </c>
      <c r="K554">
        <v>92</v>
      </c>
    </row>
    <row r="555" spans="10:11" x14ac:dyDescent="0.3">
      <c r="J555" t="s">
        <v>14</v>
      </c>
      <c r="K555">
        <v>1028</v>
      </c>
    </row>
    <row r="556" spans="10:11" x14ac:dyDescent="0.3">
      <c r="J556" t="s">
        <v>20</v>
      </c>
      <c r="K556">
        <v>554</v>
      </c>
    </row>
    <row r="557" spans="10:11" x14ac:dyDescent="0.3">
      <c r="J557" t="s">
        <v>20</v>
      </c>
      <c r="K557">
        <v>135</v>
      </c>
    </row>
    <row r="558" spans="10:11" x14ac:dyDescent="0.3">
      <c r="J558" t="s">
        <v>20</v>
      </c>
      <c r="K558">
        <v>122</v>
      </c>
    </row>
    <row r="559" spans="10:11" x14ac:dyDescent="0.3">
      <c r="J559" t="s">
        <v>20</v>
      </c>
      <c r="K559">
        <v>221</v>
      </c>
    </row>
    <row r="560" spans="10:11" x14ac:dyDescent="0.3">
      <c r="J560" t="s">
        <v>20</v>
      </c>
      <c r="K560">
        <v>126</v>
      </c>
    </row>
    <row r="561" spans="10:11" x14ac:dyDescent="0.3">
      <c r="J561" t="s">
        <v>20</v>
      </c>
      <c r="K561">
        <v>1022</v>
      </c>
    </row>
    <row r="562" spans="10:11" x14ac:dyDescent="0.3">
      <c r="J562" t="s">
        <v>20</v>
      </c>
      <c r="K562">
        <v>3177</v>
      </c>
    </row>
    <row r="563" spans="10:11" x14ac:dyDescent="0.3">
      <c r="J563" t="s">
        <v>20</v>
      </c>
      <c r="K563">
        <v>198</v>
      </c>
    </row>
    <row r="564" spans="10:11" x14ac:dyDescent="0.3">
      <c r="J564" t="s">
        <v>14</v>
      </c>
      <c r="K564">
        <v>26</v>
      </c>
    </row>
    <row r="565" spans="10:11" x14ac:dyDescent="0.3">
      <c r="J565" t="s">
        <v>20</v>
      </c>
      <c r="K565">
        <v>85</v>
      </c>
    </row>
    <row r="566" spans="10:11" x14ac:dyDescent="0.3">
      <c r="J566" t="s">
        <v>14</v>
      </c>
      <c r="K566">
        <v>1790</v>
      </c>
    </row>
    <row r="567" spans="10:11" x14ac:dyDescent="0.3">
      <c r="J567" t="s">
        <v>20</v>
      </c>
      <c r="K567">
        <v>3596</v>
      </c>
    </row>
    <row r="568" spans="10:11" x14ac:dyDescent="0.3">
      <c r="J568" t="s">
        <v>14</v>
      </c>
      <c r="K568">
        <v>37</v>
      </c>
    </row>
    <row r="569" spans="10:11" x14ac:dyDescent="0.3">
      <c r="J569" t="s">
        <v>20</v>
      </c>
      <c r="K569">
        <v>244</v>
      </c>
    </row>
    <row r="570" spans="10:11" x14ac:dyDescent="0.3">
      <c r="J570" t="s">
        <v>20</v>
      </c>
      <c r="K570">
        <v>5180</v>
      </c>
    </row>
    <row r="571" spans="10:11" x14ac:dyDescent="0.3">
      <c r="J571" t="s">
        <v>20</v>
      </c>
      <c r="K571">
        <v>589</v>
      </c>
    </row>
    <row r="572" spans="10:11" x14ac:dyDescent="0.3">
      <c r="J572" t="s">
        <v>20</v>
      </c>
      <c r="K572">
        <v>2725</v>
      </c>
    </row>
    <row r="573" spans="10:11" x14ac:dyDescent="0.3">
      <c r="J573" t="s">
        <v>14</v>
      </c>
      <c r="K573">
        <v>35</v>
      </c>
    </row>
    <row r="574" spans="10:11" x14ac:dyDescent="0.3">
      <c r="J574" t="s">
        <v>74</v>
      </c>
      <c r="K574">
        <v>94</v>
      </c>
    </row>
    <row r="575" spans="10:11" x14ac:dyDescent="0.3">
      <c r="J575" t="s">
        <v>20</v>
      </c>
      <c r="K575">
        <v>300</v>
      </c>
    </row>
    <row r="576" spans="10:11" x14ac:dyDescent="0.3">
      <c r="J576" t="s">
        <v>20</v>
      </c>
      <c r="K576">
        <v>144</v>
      </c>
    </row>
    <row r="577" spans="10:11" x14ac:dyDescent="0.3">
      <c r="J577" t="s">
        <v>14</v>
      </c>
      <c r="K577">
        <v>558</v>
      </c>
    </row>
    <row r="578" spans="10:11" x14ac:dyDescent="0.3">
      <c r="J578" t="s">
        <v>14</v>
      </c>
      <c r="K578">
        <v>64</v>
      </c>
    </row>
    <row r="579" spans="10:11" x14ac:dyDescent="0.3">
      <c r="J579" t="s">
        <v>74</v>
      </c>
      <c r="K579">
        <v>37</v>
      </c>
    </row>
    <row r="580" spans="10:11" x14ac:dyDescent="0.3">
      <c r="J580" t="s">
        <v>14</v>
      </c>
      <c r="K580">
        <v>245</v>
      </c>
    </row>
    <row r="581" spans="10:11" x14ac:dyDescent="0.3">
      <c r="J581" t="s">
        <v>20</v>
      </c>
      <c r="K581">
        <v>87</v>
      </c>
    </row>
    <row r="582" spans="10:11" x14ac:dyDescent="0.3">
      <c r="J582" t="s">
        <v>20</v>
      </c>
      <c r="K582">
        <v>3116</v>
      </c>
    </row>
    <row r="583" spans="10:11" x14ac:dyDescent="0.3">
      <c r="J583" t="s">
        <v>14</v>
      </c>
      <c r="K583">
        <v>71</v>
      </c>
    </row>
    <row r="584" spans="10:11" x14ac:dyDescent="0.3">
      <c r="J584" t="s">
        <v>14</v>
      </c>
      <c r="K584">
        <v>42</v>
      </c>
    </row>
    <row r="585" spans="10:11" x14ac:dyDescent="0.3">
      <c r="J585" t="s">
        <v>20</v>
      </c>
      <c r="K585">
        <v>909</v>
      </c>
    </row>
    <row r="586" spans="10:11" x14ac:dyDescent="0.3">
      <c r="J586" t="s">
        <v>20</v>
      </c>
      <c r="K586">
        <v>1613</v>
      </c>
    </row>
    <row r="587" spans="10:11" x14ac:dyDescent="0.3">
      <c r="J587" t="s">
        <v>20</v>
      </c>
      <c r="K587">
        <v>136</v>
      </c>
    </row>
    <row r="588" spans="10:11" x14ac:dyDescent="0.3">
      <c r="J588" t="s">
        <v>20</v>
      </c>
      <c r="K588">
        <v>130</v>
      </c>
    </row>
    <row r="589" spans="10:11" x14ac:dyDescent="0.3">
      <c r="J589" t="s">
        <v>14</v>
      </c>
      <c r="K589">
        <v>156</v>
      </c>
    </row>
    <row r="590" spans="10:11" x14ac:dyDescent="0.3">
      <c r="J590" t="s">
        <v>14</v>
      </c>
      <c r="K590">
        <v>1368</v>
      </c>
    </row>
    <row r="591" spans="10:11" x14ac:dyDescent="0.3">
      <c r="J591" t="s">
        <v>14</v>
      </c>
      <c r="K591">
        <v>102</v>
      </c>
    </row>
    <row r="592" spans="10:11" x14ac:dyDescent="0.3">
      <c r="J592" t="s">
        <v>14</v>
      </c>
      <c r="K592">
        <v>86</v>
      </c>
    </row>
    <row r="593" spans="10:11" x14ac:dyDescent="0.3">
      <c r="J593" t="s">
        <v>20</v>
      </c>
      <c r="K593">
        <v>102</v>
      </c>
    </row>
    <row r="594" spans="10:11" x14ac:dyDescent="0.3">
      <c r="J594" t="s">
        <v>14</v>
      </c>
      <c r="K594">
        <v>253</v>
      </c>
    </row>
    <row r="595" spans="10:11" x14ac:dyDescent="0.3">
      <c r="J595" t="s">
        <v>20</v>
      </c>
      <c r="K595">
        <v>4006</v>
      </c>
    </row>
    <row r="596" spans="10:11" x14ac:dyDescent="0.3">
      <c r="J596" t="s">
        <v>14</v>
      </c>
      <c r="K596">
        <v>157</v>
      </c>
    </row>
    <row r="597" spans="10:11" x14ac:dyDescent="0.3">
      <c r="J597" t="s">
        <v>20</v>
      </c>
      <c r="K597">
        <v>1629</v>
      </c>
    </row>
    <row r="598" spans="10:11" x14ac:dyDescent="0.3">
      <c r="J598" t="s">
        <v>14</v>
      </c>
      <c r="K598">
        <v>183</v>
      </c>
    </row>
    <row r="599" spans="10:11" x14ac:dyDescent="0.3">
      <c r="J599" t="s">
        <v>20</v>
      </c>
      <c r="K599">
        <v>2188</v>
      </c>
    </row>
    <row r="600" spans="10:11" x14ac:dyDescent="0.3">
      <c r="J600" t="s">
        <v>20</v>
      </c>
      <c r="K600">
        <v>2409</v>
      </c>
    </row>
    <row r="601" spans="10:11" x14ac:dyDescent="0.3">
      <c r="J601" t="s">
        <v>14</v>
      </c>
      <c r="K601">
        <v>82</v>
      </c>
    </row>
    <row r="602" spans="10:11" x14ac:dyDescent="0.3">
      <c r="J602" t="s">
        <v>14</v>
      </c>
      <c r="K602">
        <v>1</v>
      </c>
    </row>
    <row r="603" spans="10:11" x14ac:dyDescent="0.3">
      <c r="J603" t="s">
        <v>20</v>
      </c>
      <c r="K603">
        <v>194</v>
      </c>
    </row>
    <row r="604" spans="10:11" x14ac:dyDescent="0.3">
      <c r="J604" t="s">
        <v>20</v>
      </c>
      <c r="K604">
        <v>1140</v>
      </c>
    </row>
    <row r="605" spans="10:11" x14ac:dyDescent="0.3">
      <c r="J605" t="s">
        <v>20</v>
      </c>
      <c r="K605">
        <v>102</v>
      </c>
    </row>
    <row r="606" spans="10:11" x14ac:dyDescent="0.3">
      <c r="J606" t="s">
        <v>20</v>
      </c>
      <c r="K606">
        <v>2857</v>
      </c>
    </row>
    <row r="607" spans="10:11" x14ac:dyDescent="0.3">
      <c r="J607" t="s">
        <v>20</v>
      </c>
      <c r="K607">
        <v>107</v>
      </c>
    </row>
    <row r="608" spans="10:11" x14ac:dyDescent="0.3">
      <c r="J608" t="s">
        <v>20</v>
      </c>
      <c r="K608">
        <v>160</v>
      </c>
    </row>
    <row r="609" spans="10:11" x14ac:dyDescent="0.3">
      <c r="J609" t="s">
        <v>20</v>
      </c>
      <c r="K609">
        <v>2230</v>
      </c>
    </row>
    <row r="610" spans="10:11" x14ac:dyDescent="0.3">
      <c r="J610" t="s">
        <v>20</v>
      </c>
      <c r="K610">
        <v>316</v>
      </c>
    </row>
    <row r="611" spans="10:11" x14ac:dyDescent="0.3">
      <c r="J611" t="s">
        <v>20</v>
      </c>
      <c r="K611">
        <v>117</v>
      </c>
    </row>
    <row r="612" spans="10:11" x14ac:dyDescent="0.3">
      <c r="J612" t="s">
        <v>20</v>
      </c>
      <c r="K612">
        <v>6406</v>
      </c>
    </row>
    <row r="613" spans="10:11" x14ac:dyDescent="0.3">
      <c r="J613" t="s">
        <v>74</v>
      </c>
      <c r="K613">
        <v>15</v>
      </c>
    </row>
    <row r="614" spans="10:11" x14ac:dyDescent="0.3">
      <c r="J614" t="s">
        <v>20</v>
      </c>
      <c r="K614">
        <v>192</v>
      </c>
    </row>
    <row r="615" spans="10:11" x14ac:dyDescent="0.3">
      <c r="J615" t="s">
        <v>20</v>
      </c>
      <c r="K615">
        <v>26</v>
      </c>
    </row>
    <row r="616" spans="10:11" x14ac:dyDescent="0.3">
      <c r="J616" t="s">
        <v>20</v>
      </c>
      <c r="K616">
        <v>723</v>
      </c>
    </row>
    <row r="617" spans="10:11" x14ac:dyDescent="0.3">
      <c r="J617" t="s">
        <v>20</v>
      </c>
      <c r="K617">
        <v>170</v>
      </c>
    </row>
    <row r="618" spans="10:11" x14ac:dyDescent="0.3">
      <c r="J618" t="s">
        <v>20</v>
      </c>
      <c r="K618">
        <v>238</v>
      </c>
    </row>
    <row r="619" spans="10:11" x14ac:dyDescent="0.3">
      <c r="J619" t="s">
        <v>20</v>
      </c>
      <c r="K619">
        <v>55</v>
      </c>
    </row>
    <row r="620" spans="10:11" x14ac:dyDescent="0.3">
      <c r="J620" t="s">
        <v>14</v>
      </c>
      <c r="K620">
        <v>1198</v>
      </c>
    </row>
    <row r="621" spans="10:11" x14ac:dyDescent="0.3">
      <c r="J621" t="s">
        <v>14</v>
      </c>
      <c r="K621">
        <v>648</v>
      </c>
    </row>
    <row r="622" spans="10:11" x14ac:dyDescent="0.3">
      <c r="J622" t="s">
        <v>20</v>
      </c>
      <c r="K622">
        <v>128</v>
      </c>
    </row>
    <row r="623" spans="10:11" x14ac:dyDescent="0.3">
      <c r="J623" t="s">
        <v>20</v>
      </c>
      <c r="K623">
        <v>2144</v>
      </c>
    </row>
    <row r="624" spans="10:11" x14ac:dyDescent="0.3">
      <c r="J624" t="s">
        <v>14</v>
      </c>
      <c r="K624">
        <v>64</v>
      </c>
    </row>
    <row r="625" spans="10:11" x14ac:dyDescent="0.3">
      <c r="J625" t="s">
        <v>20</v>
      </c>
      <c r="K625">
        <v>2693</v>
      </c>
    </row>
    <row r="626" spans="10:11" x14ac:dyDescent="0.3">
      <c r="J626" t="s">
        <v>20</v>
      </c>
      <c r="K626">
        <v>432</v>
      </c>
    </row>
    <row r="627" spans="10:11" x14ac:dyDescent="0.3">
      <c r="J627" t="s">
        <v>14</v>
      </c>
      <c r="K627">
        <v>62</v>
      </c>
    </row>
    <row r="628" spans="10:11" x14ac:dyDescent="0.3">
      <c r="J628" t="s">
        <v>20</v>
      </c>
      <c r="K628">
        <v>189</v>
      </c>
    </row>
    <row r="629" spans="10:11" x14ac:dyDescent="0.3">
      <c r="J629" t="s">
        <v>20</v>
      </c>
      <c r="K629">
        <v>154</v>
      </c>
    </row>
    <row r="630" spans="10:11" x14ac:dyDescent="0.3">
      <c r="J630" t="s">
        <v>20</v>
      </c>
      <c r="K630">
        <v>96</v>
      </c>
    </row>
    <row r="631" spans="10:11" x14ac:dyDescent="0.3">
      <c r="J631" t="s">
        <v>14</v>
      </c>
      <c r="K631">
        <v>750</v>
      </c>
    </row>
    <row r="632" spans="10:11" x14ac:dyDescent="0.3">
      <c r="J632" t="s">
        <v>74</v>
      </c>
      <c r="K632">
        <v>87</v>
      </c>
    </row>
    <row r="633" spans="10:11" x14ac:dyDescent="0.3">
      <c r="J633" t="s">
        <v>20</v>
      </c>
      <c r="K633">
        <v>3063</v>
      </c>
    </row>
    <row r="634" spans="10:11" x14ac:dyDescent="0.3">
      <c r="J634" t="s">
        <v>47</v>
      </c>
      <c r="K634">
        <v>278</v>
      </c>
    </row>
    <row r="635" spans="10:11" x14ac:dyDescent="0.3">
      <c r="J635" t="s">
        <v>14</v>
      </c>
      <c r="K635">
        <v>105</v>
      </c>
    </row>
    <row r="636" spans="10:11" x14ac:dyDescent="0.3">
      <c r="J636" t="s">
        <v>74</v>
      </c>
      <c r="K636">
        <v>1658</v>
      </c>
    </row>
    <row r="637" spans="10:11" x14ac:dyDescent="0.3">
      <c r="J637" t="s">
        <v>20</v>
      </c>
      <c r="K637">
        <v>2266</v>
      </c>
    </row>
    <row r="638" spans="10:11" x14ac:dyDescent="0.3">
      <c r="J638" t="s">
        <v>14</v>
      </c>
      <c r="K638">
        <v>2604</v>
      </c>
    </row>
    <row r="639" spans="10:11" x14ac:dyDescent="0.3">
      <c r="J639" t="s">
        <v>14</v>
      </c>
      <c r="K639">
        <v>65</v>
      </c>
    </row>
    <row r="640" spans="10:11" x14ac:dyDescent="0.3">
      <c r="J640" t="s">
        <v>14</v>
      </c>
      <c r="K640">
        <v>94</v>
      </c>
    </row>
    <row r="641" spans="10:11" x14ac:dyDescent="0.3">
      <c r="J641" t="s">
        <v>47</v>
      </c>
      <c r="K641">
        <v>45</v>
      </c>
    </row>
    <row r="642" spans="10:11" x14ac:dyDescent="0.3">
      <c r="J642" t="s">
        <v>14</v>
      </c>
      <c r="K642">
        <v>257</v>
      </c>
    </row>
    <row r="643" spans="10:11" x14ac:dyDescent="0.3">
      <c r="J643" t="s">
        <v>20</v>
      </c>
      <c r="K643">
        <v>194</v>
      </c>
    </row>
    <row r="644" spans="10:11" x14ac:dyDescent="0.3">
      <c r="J644" t="s">
        <v>20</v>
      </c>
      <c r="K644">
        <v>129</v>
      </c>
    </row>
    <row r="645" spans="10:11" x14ac:dyDescent="0.3">
      <c r="J645" t="s">
        <v>20</v>
      </c>
      <c r="K645">
        <v>375</v>
      </c>
    </row>
    <row r="646" spans="10:11" x14ac:dyDescent="0.3">
      <c r="J646" t="s">
        <v>14</v>
      </c>
      <c r="K646">
        <v>2928</v>
      </c>
    </row>
    <row r="647" spans="10:11" x14ac:dyDescent="0.3">
      <c r="J647" t="s">
        <v>14</v>
      </c>
      <c r="K647">
        <v>4697</v>
      </c>
    </row>
    <row r="648" spans="10:11" x14ac:dyDescent="0.3">
      <c r="J648" t="s">
        <v>14</v>
      </c>
      <c r="K648">
        <v>2915</v>
      </c>
    </row>
    <row r="649" spans="10:11" x14ac:dyDescent="0.3">
      <c r="J649" t="s">
        <v>14</v>
      </c>
      <c r="K649">
        <v>18</v>
      </c>
    </row>
    <row r="650" spans="10:11" x14ac:dyDescent="0.3">
      <c r="J650" t="s">
        <v>74</v>
      </c>
      <c r="K650">
        <v>723</v>
      </c>
    </row>
    <row r="651" spans="10:11" x14ac:dyDescent="0.3">
      <c r="J651" t="s">
        <v>14</v>
      </c>
      <c r="K651">
        <v>602</v>
      </c>
    </row>
    <row r="652" spans="10:11" x14ac:dyDescent="0.3">
      <c r="J652" t="s">
        <v>14</v>
      </c>
      <c r="K652">
        <v>1</v>
      </c>
    </row>
    <row r="653" spans="10:11" x14ac:dyDescent="0.3">
      <c r="J653" t="s">
        <v>14</v>
      </c>
      <c r="K653">
        <v>3868</v>
      </c>
    </row>
    <row r="654" spans="10:11" x14ac:dyDescent="0.3">
      <c r="J654" t="s">
        <v>20</v>
      </c>
      <c r="K654">
        <v>409</v>
      </c>
    </row>
    <row r="655" spans="10:11" x14ac:dyDescent="0.3">
      <c r="J655" t="s">
        <v>20</v>
      </c>
      <c r="K655">
        <v>234</v>
      </c>
    </row>
    <row r="656" spans="10:11" x14ac:dyDescent="0.3">
      <c r="J656" t="s">
        <v>20</v>
      </c>
      <c r="K656">
        <v>3016</v>
      </c>
    </row>
    <row r="657" spans="10:11" x14ac:dyDescent="0.3">
      <c r="J657" t="s">
        <v>20</v>
      </c>
      <c r="K657">
        <v>264</v>
      </c>
    </row>
    <row r="658" spans="10:11" x14ac:dyDescent="0.3">
      <c r="J658" t="s">
        <v>14</v>
      </c>
      <c r="K658">
        <v>504</v>
      </c>
    </row>
    <row r="659" spans="10:11" x14ac:dyDescent="0.3">
      <c r="J659" t="s">
        <v>14</v>
      </c>
      <c r="K659">
        <v>14</v>
      </c>
    </row>
    <row r="660" spans="10:11" x14ac:dyDescent="0.3">
      <c r="J660" t="s">
        <v>74</v>
      </c>
      <c r="K660">
        <v>390</v>
      </c>
    </row>
    <row r="661" spans="10:11" x14ac:dyDescent="0.3">
      <c r="J661" t="s">
        <v>14</v>
      </c>
      <c r="K661">
        <v>750</v>
      </c>
    </row>
    <row r="662" spans="10:11" x14ac:dyDescent="0.3">
      <c r="J662" t="s">
        <v>14</v>
      </c>
      <c r="K662">
        <v>77</v>
      </c>
    </row>
    <row r="663" spans="10:11" x14ac:dyDescent="0.3">
      <c r="J663" t="s">
        <v>14</v>
      </c>
      <c r="K663">
        <v>752</v>
      </c>
    </row>
    <row r="664" spans="10:11" x14ac:dyDescent="0.3">
      <c r="J664" t="s">
        <v>14</v>
      </c>
      <c r="K664">
        <v>131</v>
      </c>
    </row>
    <row r="665" spans="10:11" x14ac:dyDescent="0.3">
      <c r="J665" t="s">
        <v>14</v>
      </c>
      <c r="K665">
        <v>87</v>
      </c>
    </row>
    <row r="666" spans="10:11" x14ac:dyDescent="0.3">
      <c r="J666" t="s">
        <v>14</v>
      </c>
      <c r="K666">
        <v>1063</v>
      </c>
    </row>
    <row r="667" spans="10:11" x14ac:dyDescent="0.3">
      <c r="J667" t="s">
        <v>20</v>
      </c>
      <c r="K667">
        <v>272</v>
      </c>
    </row>
    <row r="668" spans="10:11" x14ac:dyDescent="0.3">
      <c r="J668" t="s">
        <v>74</v>
      </c>
      <c r="K668">
        <v>25</v>
      </c>
    </row>
    <row r="669" spans="10:11" x14ac:dyDescent="0.3">
      <c r="J669" t="s">
        <v>20</v>
      </c>
      <c r="K669">
        <v>419</v>
      </c>
    </row>
    <row r="670" spans="10:11" x14ac:dyDescent="0.3">
      <c r="J670" t="s">
        <v>14</v>
      </c>
      <c r="K670">
        <v>76</v>
      </c>
    </row>
    <row r="671" spans="10:11" x14ac:dyDescent="0.3">
      <c r="J671" t="s">
        <v>20</v>
      </c>
      <c r="K671">
        <v>1621</v>
      </c>
    </row>
    <row r="672" spans="10:11" x14ac:dyDescent="0.3">
      <c r="J672" t="s">
        <v>20</v>
      </c>
      <c r="K672">
        <v>1101</v>
      </c>
    </row>
    <row r="673" spans="10:11" x14ac:dyDescent="0.3">
      <c r="J673" t="s">
        <v>20</v>
      </c>
      <c r="K673">
        <v>1073</v>
      </c>
    </row>
    <row r="674" spans="10:11" x14ac:dyDescent="0.3">
      <c r="J674" t="s">
        <v>14</v>
      </c>
      <c r="K674">
        <v>4428</v>
      </c>
    </row>
    <row r="675" spans="10:11" x14ac:dyDescent="0.3">
      <c r="J675" t="s">
        <v>14</v>
      </c>
      <c r="K675">
        <v>58</v>
      </c>
    </row>
    <row r="676" spans="10:11" x14ac:dyDescent="0.3">
      <c r="J676" t="s">
        <v>74</v>
      </c>
      <c r="K676">
        <v>1218</v>
      </c>
    </row>
    <row r="677" spans="10:11" x14ac:dyDescent="0.3">
      <c r="J677" t="s">
        <v>20</v>
      </c>
      <c r="K677">
        <v>331</v>
      </c>
    </row>
    <row r="678" spans="10:11" x14ac:dyDescent="0.3">
      <c r="J678" t="s">
        <v>20</v>
      </c>
      <c r="K678">
        <v>1170</v>
      </c>
    </row>
    <row r="679" spans="10:11" x14ac:dyDescent="0.3">
      <c r="J679" t="s">
        <v>14</v>
      </c>
      <c r="K679">
        <v>111</v>
      </c>
    </row>
    <row r="680" spans="10:11" x14ac:dyDescent="0.3">
      <c r="J680" t="s">
        <v>74</v>
      </c>
      <c r="K680">
        <v>215</v>
      </c>
    </row>
    <row r="681" spans="10:11" x14ac:dyDescent="0.3">
      <c r="J681" t="s">
        <v>20</v>
      </c>
      <c r="K681">
        <v>363</v>
      </c>
    </row>
    <row r="682" spans="10:11" x14ac:dyDescent="0.3">
      <c r="J682" t="s">
        <v>14</v>
      </c>
      <c r="K682">
        <v>2955</v>
      </c>
    </row>
    <row r="683" spans="10:11" x14ac:dyDescent="0.3">
      <c r="J683" t="s">
        <v>14</v>
      </c>
      <c r="K683">
        <v>1657</v>
      </c>
    </row>
    <row r="684" spans="10:11" x14ac:dyDescent="0.3">
      <c r="J684" t="s">
        <v>20</v>
      </c>
      <c r="K684">
        <v>103</v>
      </c>
    </row>
    <row r="685" spans="10:11" x14ac:dyDescent="0.3">
      <c r="J685" t="s">
        <v>20</v>
      </c>
      <c r="K685">
        <v>147</v>
      </c>
    </row>
    <row r="686" spans="10:11" x14ac:dyDescent="0.3">
      <c r="J686" t="s">
        <v>20</v>
      </c>
      <c r="K686">
        <v>110</v>
      </c>
    </row>
    <row r="687" spans="10:11" x14ac:dyDescent="0.3">
      <c r="J687" t="s">
        <v>14</v>
      </c>
      <c r="K687">
        <v>926</v>
      </c>
    </row>
    <row r="688" spans="10:11" x14ac:dyDescent="0.3">
      <c r="J688" t="s">
        <v>20</v>
      </c>
      <c r="K688">
        <v>134</v>
      </c>
    </row>
    <row r="689" spans="10:11" x14ac:dyDescent="0.3">
      <c r="J689" t="s">
        <v>20</v>
      </c>
      <c r="K689">
        <v>269</v>
      </c>
    </row>
    <row r="690" spans="10:11" x14ac:dyDescent="0.3">
      <c r="J690" t="s">
        <v>20</v>
      </c>
      <c r="K690">
        <v>175</v>
      </c>
    </row>
    <row r="691" spans="10:11" x14ac:dyDescent="0.3">
      <c r="J691" t="s">
        <v>20</v>
      </c>
      <c r="K691">
        <v>69</v>
      </c>
    </row>
    <row r="692" spans="10:11" x14ac:dyDescent="0.3">
      <c r="J692" t="s">
        <v>20</v>
      </c>
      <c r="K692">
        <v>190</v>
      </c>
    </row>
    <row r="693" spans="10:11" x14ac:dyDescent="0.3">
      <c r="J693" t="s">
        <v>20</v>
      </c>
      <c r="K693">
        <v>237</v>
      </c>
    </row>
    <row r="694" spans="10:11" x14ac:dyDescent="0.3">
      <c r="J694" t="s">
        <v>14</v>
      </c>
      <c r="K694">
        <v>77</v>
      </c>
    </row>
    <row r="695" spans="10:11" x14ac:dyDescent="0.3">
      <c r="J695" t="s">
        <v>14</v>
      </c>
      <c r="K695">
        <v>1748</v>
      </c>
    </row>
    <row r="696" spans="10:11" x14ac:dyDescent="0.3">
      <c r="J696" t="s">
        <v>14</v>
      </c>
      <c r="K696">
        <v>79</v>
      </c>
    </row>
    <row r="697" spans="10:11" x14ac:dyDescent="0.3">
      <c r="J697" t="s">
        <v>20</v>
      </c>
      <c r="K697">
        <v>196</v>
      </c>
    </row>
    <row r="698" spans="10:11" x14ac:dyDescent="0.3">
      <c r="J698" t="s">
        <v>14</v>
      </c>
      <c r="K698">
        <v>889</v>
      </c>
    </row>
    <row r="699" spans="10:11" x14ac:dyDescent="0.3">
      <c r="J699" t="s">
        <v>20</v>
      </c>
      <c r="K699">
        <v>7295</v>
      </c>
    </row>
    <row r="700" spans="10:11" x14ac:dyDescent="0.3">
      <c r="J700" t="s">
        <v>20</v>
      </c>
      <c r="K700">
        <v>2893</v>
      </c>
    </row>
    <row r="701" spans="10:11" x14ac:dyDescent="0.3">
      <c r="J701" t="s">
        <v>14</v>
      </c>
      <c r="K701">
        <v>56</v>
      </c>
    </row>
    <row r="702" spans="10:11" x14ac:dyDescent="0.3">
      <c r="J702" t="s">
        <v>14</v>
      </c>
      <c r="K702">
        <v>1</v>
      </c>
    </row>
    <row r="703" spans="10:11" x14ac:dyDescent="0.3">
      <c r="J703" t="s">
        <v>20</v>
      </c>
      <c r="K703">
        <v>820</v>
      </c>
    </row>
    <row r="704" spans="10:11" x14ac:dyDescent="0.3">
      <c r="J704" t="s">
        <v>14</v>
      </c>
      <c r="K704">
        <v>83</v>
      </c>
    </row>
    <row r="705" spans="10:11" x14ac:dyDescent="0.3">
      <c r="J705" t="s">
        <v>20</v>
      </c>
      <c r="K705">
        <v>2038</v>
      </c>
    </row>
    <row r="706" spans="10:11" x14ac:dyDescent="0.3">
      <c r="J706" t="s">
        <v>20</v>
      </c>
      <c r="K706">
        <v>116</v>
      </c>
    </row>
    <row r="707" spans="10:11" x14ac:dyDescent="0.3">
      <c r="J707" t="s">
        <v>14</v>
      </c>
      <c r="K707">
        <v>2025</v>
      </c>
    </row>
    <row r="708" spans="10:11" x14ac:dyDescent="0.3">
      <c r="J708" t="s">
        <v>20</v>
      </c>
      <c r="K708">
        <v>1345</v>
      </c>
    </row>
    <row r="709" spans="10:11" x14ac:dyDescent="0.3">
      <c r="J709" t="s">
        <v>20</v>
      </c>
      <c r="K709">
        <v>168</v>
      </c>
    </row>
    <row r="710" spans="10:11" x14ac:dyDescent="0.3">
      <c r="J710" t="s">
        <v>20</v>
      </c>
      <c r="K710">
        <v>137</v>
      </c>
    </row>
    <row r="711" spans="10:11" x14ac:dyDescent="0.3">
      <c r="J711" t="s">
        <v>20</v>
      </c>
      <c r="K711">
        <v>186</v>
      </c>
    </row>
    <row r="712" spans="10:11" x14ac:dyDescent="0.3">
      <c r="J712" t="s">
        <v>20</v>
      </c>
      <c r="K712">
        <v>125</v>
      </c>
    </row>
    <row r="713" spans="10:11" x14ac:dyDescent="0.3">
      <c r="J713" t="s">
        <v>14</v>
      </c>
      <c r="K713">
        <v>14</v>
      </c>
    </row>
    <row r="714" spans="10:11" x14ac:dyDescent="0.3">
      <c r="J714" t="s">
        <v>20</v>
      </c>
      <c r="K714">
        <v>202</v>
      </c>
    </row>
    <row r="715" spans="10:11" x14ac:dyDescent="0.3">
      <c r="J715" t="s">
        <v>20</v>
      </c>
      <c r="K715">
        <v>103</v>
      </c>
    </row>
    <row r="716" spans="10:11" x14ac:dyDescent="0.3">
      <c r="J716" t="s">
        <v>20</v>
      </c>
      <c r="K716">
        <v>1785</v>
      </c>
    </row>
    <row r="717" spans="10:11" x14ac:dyDescent="0.3">
      <c r="J717" t="s">
        <v>14</v>
      </c>
      <c r="K717">
        <v>656</v>
      </c>
    </row>
    <row r="718" spans="10:11" x14ac:dyDescent="0.3">
      <c r="J718" t="s">
        <v>20</v>
      </c>
      <c r="K718">
        <v>157</v>
      </c>
    </row>
    <row r="719" spans="10:11" x14ac:dyDescent="0.3">
      <c r="J719" t="s">
        <v>20</v>
      </c>
      <c r="K719">
        <v>555</v>
      </c>
    </row>
    <row r="720" spans="10:11" x14ac:dyDescent="0.3">
      <c r="J720" t="s">
        <v>20</v>
      </c>
      <c r="K720">
        <v>297</v>
      </c>
    </row>
    <row r="721" spans="10:11" x14ac:dyDescent="0.3">
      <c r="J721" t="s">
        <v>20</v>
      </c>
      <c r="K721">
        <v>123</v>
      </c>
    </row>
    <row r="722" spans="10:11" x14ac:dyDescent="0.3">
      <c r="J722" t="s">
        <v>74</v>
      </c>
      <c r="K722">
        <v>38</v>
      </c>
    </row>
    <row r="723" spans="10:11" x14ac:dyDescent="0.3">
      <c r="J723" t="s">
        <v>74</v>
      </c>
      <c r="K723">
        <v>60</v>
      </c>
    </row>
    <row r="724" spans="10:11" x14ac:dyDescent="0.3">
      <c r="J724" t="s">
        <v>20</v>
      </c>
      <c r="K724">
        <v>3036</v>
      </c>
    </row>
    <row r="725" spans="10:11" x14ac:dyDescent="0.3">
      <c r="J725" t="s">
        <v>20</v>
      </c>
      <c r="K725">
        <v>144</v>
      </c>
    </row>
    <row r="726" spans="10:11" x14ac:dyDescent="0.3">
      <c r="J726" t="s">
        <v>20</v>
      </c>
      <c r="K726">
        <v>121</v>
      </c>
    </row>
    <row r="727" spans="10:11" x14ac:dyDescent="0.3">
      <c r="J727" t="s">
        <v>14</v>
      </c>
      <c r="K727">
        <v>1596</v>
      </c>
    </row>
    <row r="728" spans="10:11" x14ac:dyDescent="0.3">
      <c r="J728" t="s">
        <v>74</v>
      </c>
      <c r="K728">
        <v>524</v>
      </c>
    </row>
    <row r="729" spans="10:11" x14ac:dyDescent="0.3">
      <c r="J729" t="s">
        <v>20</v>
      </c>
      <c r="K729">
        <v>181</v>
      </c>
    </row>
    <row r="730" spans="10:11" x14ac:dyDescent="0.3">
      <c r="J730" t="s">
        <v>14</v>
      </c>
      <c r="K730">
        <v>10</v>
      </c>
    </row>
    <row r="731" spans="10:11" x14ac:dyDescent="0.3">
      <c r="J731" t="s">
        <v>20</v>
      </c>
      <c r="K731">
        <v>122</v>
      </c>
    </row>
    <row r="732" spans="10:11" x14ac:dyDescent="0.3">
      <c r="J732" t="s">
        <v>20</v>
      </c>
      <c r="K732">
        <v>1071</v>
      </c>
    </row>
    <row r="733" spans="10:11" x14ac:dyDescent="0.3">
      <c r="J733" t="s">
        <v>74</v>
      </c>
      <c r="K733">
        <v>219</v>
      </c>
    </row>
    <row r="734" spans="10:11" x14ac:dyDescent="0.3">
      <c r="J734" t="s">
        <v>14</v>
      </c>
      <c r="K734">
        <v>1121</v>
      </c>
    </row>
    <row r="735" spans="10:11" x14ac:dyDescent="0.3">
      <c r="J735" t="s">
        <v>20</v>
      </c>
      <c r="K735">
        <v>980</v>
      </c>
    </row>
    <row r="736" spans="10:11" x14ac:dyDescent="0.3">
      <c r="J736" t="s">
        <v>20</v>
      </c>
      <c r="K736">
        <v>536</v>
      </c>
    </row>
    <row r="737" spans="10:11" x14ac:dyDescent="0.3">
      <c r="J737" t="s">
        <v>20</v>
      </c>
      <c r="K737">
        <v>1991</v>
      </c>
    </row>
    <row r="738" spans="10:11" x14ac:dyDescent="0.3">
      <c r="J738" t="s">
        <v>74</v>
      </c>
      <c r="K738">
        <v>29</v>
      </c>
    </row>
    <row r="739" spans="10:11" x14ac:dyDescent="0.3">
      <c r="J739" t="s">
        <v>20</v>
      </c>
      <c r="K739">
        <v>180</v>
      </c>
    </row>
    <row r="740" spans="10:11" x14ac:dyDescent="0.3">
      <c r="J740" t="s">
        <v>14</v>
      </c>
      <c r="K740">
        <v>15</v>
      </c>
    </row>
    <row r="741" spans="10:11" x14ac:dyDescent="0.3">
      <c r="J741" t="s">
        <v>14</v>
      </c>
      <c r="K741">
        <v>191</v>
      </c>
    </row>
    <row r="742" spans="10:11" x14ac:dyDescent="0.3">
      <c r="J742" t="s">
        <v>14</v>
      </c>
      <c r="K742">
        <v>16</v>
      </c>
    </row>
    <row r="743" spans="10:11" x14ac:dyDescent="0.3">
      <c r="J743" t="s">
        <v>20</v>
      </c>
      <c r="K743">
        <v>130</v>
      </c>
    </row>
    <row r="744" spans="10:11" x14ac:dyDescent="0.3">
      <c r="J744" t="s">
        <v>20</v>
      </c>
      <c r="K744">
        <v>122</v>
      </c>
    </row>
    <row r="745" spans="10:11" x14ac:dyDescent="0.3">
      <c r="J745" t="s">
        <v>14</v>
      </c>
      <c r="K745">
        <v>17</v>
      </c>
    </row>
    <row r="746" spans="10:11" x14ac:dyDescent="0.3">
      <c r="J746" t="s">
        <v>20</v>
      </c>
      <c r="K746">
        <v>140</v>
      </c>
    </row>
    <row r="747" spans="10:11" x14ac:dyDescent="0.3">
      <c r="J747" t="s">
        <v>14</v>
      </c>
      <c r="K747">
        <v>34</v>
      </c>
    </row>
    <row r="748" spans="10:11" x14ac:dyDescent="0.3">
      <c r="J748" t="s">
        <v>20</v>
      </c>
      <c r="K748">
        <v>3388</v>
      </c>
    </row>
    <row r="749" spans="10:11" x14ac:dyDescent="0.3">
      <c r="J749" t="s">
        <v>20</v>
      </c>
      <c r="K749">
        <v>280</v>
      </c>
    </row>
    <row r="750" spans="10:11" x14ac:dyDescent="0.3">
      <c r="J750" t="s">
        <v>74</v>
      </c>
      <c r="K750">
        <v>614</v>
      </c>
    </row>
    <row r="751" spans="10:11" x14ac:dyDescent="0.3">
      <c r="J751" t="s">
        <v>20</v>
      </c>
      <c r="K751">
        <v>366</v>
      </c>
    </row>
    <row r="752" spans="10:11" x14ac:dyDescent="0.3">
      <c r="J752" t="s">
        <v>14</v>
      </c>
      <c r="K752">
        <v>1</v>
      </c>
    </row>
    <row r="753" spans="10:11" x14ac:dyDescent="0.3">
      <c r="J753" t="s">
        <v>20</v>
      </c>
      <c r="K753">
        <v>270</v>
      </c>
    </row>
    <row r="754" spans="10:11" x14ac:dyDescent="0.3">
      <c r="J754" t="s">
        <v>74</v>
      </c>
      <c r="K754">
        <v>114</v>
      </c>
    </row>
    <row r="755" spans="10:11" x14ac:dyDescent="0.3">
      <c r="J755" t="s">
        <v>20</v>
      </c>
      <c r="K755">
        <v>137</v>
      </c>
    </row>
    <row r="756" spans="10:11" x14ac:dyDescent="0.3">
      <c r="J756" t="s">
        <v>20</v>
      </c>
      <c r="K756">
        <v>3205</v>
      </c>
    </row>
    <row r="757" spans="10:11" x14ac:dyDescent="0.3">
      <c r="J757" t="s">
        <v>20</v>
      </c>
      <c r="K757">
        <v>288</v>
      </c>
    </row>
    <row r="758" spans="10:11" x14ac:dyDescent="0.3">
      <c r="J758" t="s">
        <v>20</v>
      </c>
      <c r="K758">
        <v>148</v>
      </c>
    </row>
    <row r="759" spans="10:11" x14ac:dyDescent="0.3">
      <c r="J759" t="s">
        <v>20</v>
      </c>
      <c r="K759">
        <v>114</v>
      </c>
    </row>
    <row r="760" spans="10:11" x14ac:dyDescent="0.3">
      <c r="J760" t="s">
        <v>20</v>
      </c>
      <c r="K760">
        <v>1518</v>
      </c>
    </row>
    <row r="761" spans="10:11" x14ac:dyDescent="0.3">
      <c r="J761" t="s">
        <v>14</v>
      </c>
      <c r="K761">
        <v>1274</v>
      </c>
    </row>
    <row r="762" spans="10:11" x14ac:dyDescent="0.3">
      <c r="J762" t="s">
        <v>14</v>
      </c>
      <c r="K762">
        <v>210</v>
      </c>
    </row>
    <row r="763" spans="10:11" x14ac:dyDescent="0.3">
      <c r="J763" t="s">
        <v>20</v>
      </c>
      <c r="K763">
        <v>166</v>
      </c>
    </row>
    <row r="764" spans="10:11" x14ac:dyDescent="0.3">
      <c r="J764" t="s">
        <v>20</v>
      </c>
      <c r="K764">
        <v>100</v>
      </c>
    </row>
    <row r="765" spans="10:11" x14ac:dyDescent="0.3">
      <c r="J765" t="s">
        <v>20</v>
      </c>
      <c r="K765">
        <v>235</v>
      </c>
    </row>
    <row r="766" spans="10:11" x14ac:dyDescent="0.3">
      <c r="J766" t="s">
        <v>20</v>
      </c>
      <c r="K766">
        <v>148</v>
      </c>
    </row>
    <row r="767" spans="10:11" x14ac:dyDescent="0.3">
      <c r="J767" t="s">
        <v>20</v>
      </c>
      <c r="K767">
        <v>198</v>
      </c>
    </row>
    <row r="768" spans="10:11" x14ac:dyDescent="0.3">
      <c r="J768" t="s">
        <v>14</v>
      </c>
      <c r="K768">
        <v>248</v>
      </c>
    </row>
    <row r="769" spans="10:11" x14ac:dyDescent="0.3">
      <c r="J769" t="s">
        <v>14</v>
      </c>
      <c r="K769">
        <v>513</v>
      </c>
    </row>
    <row r="770" spans="10:11" x14ac:dyDescent="0.3">
      <c r="J770" t="s">
        <v>20</v>
      </c>
      <c r="K770">
        <v>150</v>
      </c>
    </row>
    <row r="771" spans="10:11" x14ac:dyDescent="0.3">
      <c r="J771" t="s">
        <v>14</v>
      </c>
      <c r="K771">
        <v>3410</v>
      </c>
    </row>
    <row r="772" spans="10:11" x14ac:dyDescent="0.3">
      <c r="J772" t="s">
        <v>20</v>
      </c>
      <c r="K772">
        <v>216</v>
      </c>
    </row>
    <row r="773" spans="10:11" x14ac:dyDescent="0.3">
      <c r="J773" t="s">
        <v>74</v>
      </c>
      <c r="K773">
        <v>26</v>
      </c>
    </row>
    <row r="774" spans="10:11" x14ac:dyDescent="0.3">
      <c r="J774" t="s">
        <v>20</v>
      </c>
      <c r="K774">
        <v>5139</v>
      </c>
    </row>
    <row r="775" spans="10:11" x14ac:dyDescent="0.3">
      <c r="J775" t="s">
        <v>20</v>
      </c>
      <c r="K775">
        <v>2353</v>
      </c>
    </row>
    <row r="776" spans="10:11" x14ac:dyDescent="0.3">
      <c r="J776" t="s">
        <v>20</v>
      </c>
      <c r="K776">
        <v>78</v>
      </c>
    </row>
    <row r="777" spans="10:11" x14ac:dyDescent="0.3">
      <c r="J777" t="s">
        <v>14</v>
      </c>
      <c r="K777">
        <v>10</v>
      </c>
    </row>
    <row r="778" spans="10:11" x14ac:dyDescent="0.3">
      <c r="J778" t="s">
        <v>14</v>
      </c>
      <c r="K778">
        <v>2201</v>
      </c>
    </row>
    <row r="779" spans="10:11" x14ac:dyDescent="0.3">
      <c r="J779" t="s">
        <v>14</v>
      </c>
      <c r="K779">
        <v>676</v>
      </c>
    </row>
    <row r="780" spans="10:11" x14ac:dyDescent="0.3">
      <c r="J780" t="s">
        <v>20</v>
      </c>
      <c r="K780">
        <v>174</v>
      </c>
    </row>
    <row r="781" spans="10:11" x14ac:dyDescent="0.3">
      <c r="J781" t="s">
        <v>14</v>
      </c>
      <c r="K781">
        <v>831</v>
      </c>
    </row>
    <row r="782" spans="10:11" x14ac:dyDescent="0.3">
      <c r="J782" t="s">
        <v>20</v>
      </c>
      <c r="K782">
        <v>164</v>
      </c>
    </row>
    <row r="783" spans="10:11" x14ac:dyDescent="0.3">
      <c r="J783" t="s">
        <v>74</v>
      </c>
      <c r="K783">
        <v>56</v>
      </c>
    </row>
    <row r="784" spans="10:11" x14ac:dyDescent="0.3">
      <c r="J784" t="s">
        <v>20</v>
      </c>
      <c r="K784">
        <v>161</v>
      </c>
    </row>
    <row r="785" spans="10:11" x14ac:dyDescent="0.3">
      <c r="J785" t="s">
        <v>20</v>
      </c>
      <c r="K785">
        <v>138</v>
      </c>
    </row>
    <row r="786" spans="10:11" x14ac:dyDescent="0.3">
      <c r="J786" t="s">
        <v>20</v>
      </c>
      <c r="K786">
        <v>3308</v>
      </c>
    </row>
    <row r="787" spans="10:11" x14ac:dyDescent="0.3">
      <c r="J787" t="s">
        <v>20</v>
      </c>
      <c r="K787">
        <v>127</v>
      </c>
    </row>
    <row r="788" spans="10:11" x14ac:dyDescent="0.3">
      <c r="J788" t="s">
        <v>20</v>
      </c>
      <c r="K788">
        <v>207</v>
      </c>
    </row>
    <row r="789" spans="10:11" x14ac:dyDescent="0.3">
      <c r="J789" t="s">
        <v>14</v>
      </c>
      <c r="K789">
        <v>859</v>
      </c>
    </row>
    <row r="790" spans="10:11" x14ac:dyDescent="0.3">
      <c r="J790" t="s">
        <v>47</v>
      </c>
      <c r="K790">
        <v>31</v>
      </c>
    </row>
    <row r="791" spans="10:11" x14ac:dyDescent="0.3">
      <c r="J791" t="s">
        <v>14</v>
      </c>
      <c r="K791">
        <v>45</v>
      </c>
    </row>
    <row r="792" spans="10:11" x14ac:dyDescent="0.3">
      <c r="J792" t="s">
        <v>74</v>
      </c>
      <c r="K792">
        <v>1113</v>
      </c>
    </row>
    <row r="793" spans="10:11" x14ac:dyDescent="0.3">
      <c r="J793" t="s">
        <v>14</v>
      </c>
      <c r="K793">
        <v>6</v>
      </c>
    </row>
    <row r="794" spans="10:11" x14ac:dyDescent="0.3">
      <c r="J794" t="s">
        <v>14</v>
      </c>
      <c r="K794">
        <v>7</v>
      </c>
    </row>
    <row r="795" spans="10:11" x14ac:dyDescent="0.3">
      <c r="J795" t="s">
        <v>20</v>
      </c>
      <c r="K795">
        <v>181</v>
      </c>
    </row>
    <row r="796" spans="10:11" x14ac:dyDescent="0.3">
      <c r="J796" t="s">
        <v>20</v>
      </c>
      <c r="K796">
        <v>110</v>
      </c>
    </row>
    <row r="797" spans="10:11" x14ac:dyDescent="0.3">
      <c r="J797" t="s">
        <v>14</v>
      </c>
      <c r="K797">
        <v>31</v>
      </c>
    </row>
    <row r="798" spans="10:11" x14ac:dyDescent="0.3">
      <c r="J798" t="s">
        <v>14</v>
      </c>
      <c r="K798">
        <v>78</v>
      </c>
    </row>
    <row r="799" spans="10:11" x14ac:dyDescent="0.3">
      <c r="J799" t="s">
        <v>20</v>
      </c>
      <c r="K799">
        <v>185</v>
      </c>
    </row>
    <row r="800" spans="10:11" x14ac:dyDescent="0.3">
      <c r="J800" t="s">
        <v>20</v>
      </c>
      <c r="K800">
        <v>121</v>
      </c>
    </row>
    <row r="801" spans="10:11" x14ac:dyDescent="0.3">
      <c r="J801" t="s">
        <v>14</v>
      </c>
      <c r="K801">
        <v>1225</v>
      </c>
    </row>
    <row r="802" spans="10:11" x14ac:dyDescent="0.3">
      <c r="J802" t="s">
        <v>14</v>
      </c>
      <c r="K802">
        <v>1</v>
      </c>
    </row>
    <row r="803" spans="10:11" x14ac:dyDescent="0.3">
      <c r="J803" t="s">
        <v>20</v>
      </c>
      <c r="K803">
        <v>106</v>
      </c>
    </row>
    <row r="804" spans="10:11" x14ac:dyDescent="0.3">
      <c r="J804" t="s">
        <v>20</v>
      </c>
      <c r="K804">
        <v>142</v>
      </c>
    </row>
    <row r="805" spans="10:11" x14ac:dyDescent="0.3">
      <c r="J805" t="s">
        <v>20</v>
      </c>
      <c r="K805">
        <v>233</v>
      </c>
    </row>
    <row r="806" spans="10:11" x14ac:dyDescent="0.3">
      <c r="J806" t="s">
        <v>20</v>
      </c>
      <c r="K806">
        <v>218</v>
      </c>
    </row>
    <row r="807" spans="10:11" x14ac:dyDescent="0.3">
      <c r="J807" t="s">
        <v>14</v>
      </c>
      <c r="K807">
        <v>67</v>
      </c>
    </row>
    <row r="808" spans="10:11" x14ac:dyDescent="0.3">
      <c r="J808" t="s">
        <v>20</v>
      </c>
      <c r="K808">
        <v>76</v>
      </c>
    </row>
    <row r="809" spans="10:11" x14ac:dyDescent="0.3">
      <c r="J809" t="s">
        <v>20</v>
      </c>
      <c r="K809">
        <v>43</v>
      </c>
    </row>
    <row r="810" spans="10:11" x14ac:dyDescent="0.3">
      <c r="J810" t="s">
        <v>14</v>
      </c>
      <c r="K810">
        <v>19</v>
      </c>
    </row>
    <row r="811" spans="10:11" x14ac:dyDescent="0.3">
      <c r="J811" t="s">
        <v>14</v>
      </c>
      <c r="K811">
        <v>2108</v>
      </c>
    </row>
    <row r="812" spans="10:11" x14ac:dyDescent="0.3">
      <c r="J812" t="s">
        <v>20</v>
      </c>
      <c r="K812">
        <v>221</v>
      </c>
    </row>
    <row r="813" spans="10:11" x14ac:dyDescent="0.3">
      <c r="J813" t="s">
        <v>14</v>
      </c>
      <c r="K813">
        <v>679</v>
      </c>
    </row>
    <row r="814" spans="10:11" x14ac:dyDescent="0.3">
      <c r="J814" t="s">
        <v>20</v>
      </c>
      <c r="K814">
        <v>2805</v>
      </c>
    </row>
    <row r="815" spans="10:11" x14ac:dyDescent="0.3">
      <c r="J815" t="s">
        <v>20</v>
      </c>
      <c r="K815">
        <v>68</v>
      </c>
    </row>
    <row r="816" spans="10:11" x14ac:dyDescent="0.3">
      <c r="J816" t="s">
        <v>14</v>
      </c>
      <c r="K816">
        <v>36</v>
      </c>
    </row>
    <row r="817" spans="10:11" x14ac:dyDescent="0.3">
      <c r="J817" t="s">
        <v>20</v>
      </c>
      <c r="K817">
        <v>183</v>
      </c>
    </row>
    <row r="818" spans="10:11" x14ac:dyDescent="0.3">
      <c r="J818" t="s">
        <v>20</v>
      </c>
      <c r="K818">
        <v>133</v>
      </c>
    </row>
    <row r="819" spans="10:11" x14ac:dyDescent="0.3">
      <c r="J819" t="s">
        <v>20</v>
      </c>
      <c r="K819">
        <v>2489</v>
      </c>
    </row>
    <row r="820" spans="10:11" x14ac:dyDescent="0.3">
      <c r="J820" t="s">
        <v>20</v>
      </c>
      <c r="K820">
        <v>69</v>
      </c>
    </row>
    <row r="821" spans="10:11" x14ac:dyDescent="0.3">
      <c r="J821" t="s">
        <v>14</v>
      </c>
      <c r="K821">
        <v>47</v>
      </c>
    </row>
    <row r="822" spans="10:11" x14ac:dyDescent="0.3">
      <c r="J822" t="s">
        <v>20</v>
      </c>
      <c r="K822">
        <v>279</v>
      </c>
    </row>
    <row r="823" spans="10:11" x14ac:dyDescent="0.3">
      <c r="J823" t="s">
        <v>20</v>
      </c>
      <c r="K823">
        <v>210</v>
      </c>
    </row>
    <row r="824" spans="10:11" x14ac:dyDescent="0.3">
      <c r="J824" t="s">
        <v>20</v>
      </c>
      <c r="K824">
        <v>2100</v>
      </c>
    </row>
    <row r="825" spans="10:11" x14ac:dyDescent="0.3">
      <c r="J825" t="s">
        <v>20</v>
      </c>
      <c r="K825">
        <v>252</v>
      </c>
    </row>
    <row r="826" spans="10:11" x14ac:dyDescent="0.3">
      <c r="J826" t="s">
        <v>20</v>
      </c>
      <c r="K826">
        <v>1280</v>
      </c>
    </row>
    <row r="827" spans="10:11" x14ac:dyDescent="0.3">
      <c r="J827" t="s">
        <v>20</v>
      </c>
      <c r="K827">
        <v>157</v>
      </c>
    </row>
    <row r="828" spans="10:11" x14ac:dyDescent="0.3">
      <c r="J828" t="s">
        <v>20</v>
      </c>
      <c r="K828">
        <v>194</v>
      </c>
    </row>
    <row r="829" spans="10:11" x14ac:dyDescent="0.3">
      <c r="J829" t="s">
        <v>20</v>
      </c>
      <c r="K829">
        <v>82</v>
      </c>
    </row>
    <row r="830" spans="10:11" x14ac:dyDescent="0.3">
      <c r="J830" t="s">
        <v>14</v>
      </c>
      <c r="K830">
        <v>70</v>
      </c>
    </row>
    <row r="831" spans="10:11" x14ac:dyDescent="0.3">
      <c r="J831" t="s">
        <v>14</v>
      </c>
      <c r="K831">
        <v>154</v>
      </c>
    </row>
    <row r="832" spans="10:11" x14ac:dyDescent="0.3">
      <c r="J832" t="s">
        <v>14</v>
      </c>
      <c r="K832">
        <v>22</v>
      </c>
    </row>
    <row r="833" spans="10:11" x14ac:dyDescent="0.3">
      <c r="J833" t="s">
        <v>20</v>
      </c>
      <c r="K833">
        <v>4233</v>
      </c>
    </row>
    <row r="834" spans="10:11" x14ac:dyDescent="0.3">
      <c r="J834" t="s">
        <v>20</v>
      </c>
      <c r="K834">
        <v>1297</v>
      </c>
    </row>
    <row r="835" spans="10:11" x14ac:dyDescent="0.3">
      <c r="J835" t="s">
        <v>20</v>
      </c>
      <c r="K835">
        <v>165</v>
      </c>
    </row>
    <row r="836" spans="10:11" x14ac:dyDescent="0.3">
      <c r="J836" t="s">
        <v>20</v>
      </c>
      <c r="K836">
        <v>119</v>
      </c>
    </row>
    <row r="837" spans="10:11" x14ac:dyDescent="0.3">
      <c r="J837" t="s">
        <v>14</v>
      </c>
      <c r="K837">
        <v>1758</v>
      </c>
    </row>
    <row r="838" spans="10:11" x14ac:dyDescent="0.3">
      <c r="J838" t="s">
        <v>14</v>
      </c>
      <c r="K838">
        <v>94</v>
      </c>
    </row>
    <row r="839" spans="10:11" x14ac:dyDescent="0.3">
      <c r="J839" t="s">
        <v>20</v>
      </c>
      <c r="K839">
        <v>1797</v>
      </c>
    </row>
    <row r="840" spans="10:11" x14ac:dyDescent="0.3">
      <c r="J840" t="s">
        <v>20</v>
      </c>
      <c r="K840">
        <v>261</v>
      </c>
    </row>
    <row r="841" spans="10:11" x14ac:dyDescent="0.3">
      <c r="J841" t="s">
        <v>20</v>
      </c>
      <c r="K841">
        <v>157</v>
      </c>
    </row>
    <row r="842" spans="10:11" x14ac:dyDescent="0.3">
      <c r="J842" t="s">
        <v>20</v>
      </c>
      <c r="K842">
        <v>3533</v>
      </c>
    </row>
    <row r="843" spans="10:11" x14ac:dyDescent="0.3">
      <c r="J843" t="s">
        <v>20</v>
      </c>
      <c r="K843">
        <v>155</v>
      </c>
    </row>
    <row r="844" spans="10:11" x14ac:dyDescent="0.3">
      <c r="J844" t="s">
        <v>20</v>
      </c>
      <c r="K844">
        <v>132</v>
      </c>
    </row>
    <row r="845" spans="10:11" x14ac:dyDescent="0.3">
      <c r="J845" t="s">
        <v>14</v>
      </c>
      <c r="K845">
        <v>33</v>
      </c>
    </row>
    <row r="846" spans="10:11" x14ac:dyDescent="0.3">
      <c r="J846" t="s">
        <v>74</v>
      </c>
      <c r="K846">
        <v>94</v>
      </c>
    </row>
    <row r="847" spans="10:11" x14ac:dyDescent="0.3">
      <c r="J847" t="s">
        <v>20</v>
      </c>
      <c r="K847">
        <v>1354</v>
      </c>
    </row>
    <row r="848" spans="10:11" x14ac:dyDescent="0.3">
      <c r="J848" t="s">
        <v>20</v>
      </c>
      <c r="K848">
        <v>48</v>
      </c>
    </row>
    <row r="849" spans="10:11" x14ac:dyDescent="0.3">
      <c r="J849" t="s">
        <v>20</v>
      </c>
      <c r="K849">
        <v>110</v>
      </c>
    </row>
    <row r="850" spans="10:11" x14ac:dyDescent="0.3">
      <c r="J850" t="s">
        <v>20</v>
      </c>
      <c r="K850">
        <v>172</v>
      </c>
    </row>
    <row r="851" spans="10:11" x14ac:dyDescent="0.3">
      <c r="J851" t="s">
        <v>20</v>
      </c>
      <c r="K851">
        <v>307</v>
      </c>
    </row>
    <row r="852" spans="10:11" x14ac:dyDescent="0.3">
      <c r="J852" t="s">
        <v>14</v>
      </c>
      <c r="K852">
        <v>1</v>
      </c>
    </row>
    <row r="853" spans="10:11" x14ac:dyDescent="0.3">
      <c r="J853" t="s">
        <v>20</v>
      </c>
      <c r="K853">
        <v>160</v>
      </c>
    </row>
    <row r="854" spans="10:11" x14ac:dyDescent="0.3">
      <c r="J854" t="s">
        <v>14</v>
      </c>
      <c r="K854">
        <v>31</v>
      </c>
    </row>
    <row r="855" spans="10:11" x14ac:dyDescent="0.3">
      <c r="J855" t="s">
        <v>20</v>
      </c>
      <c r="K855">
        <v>1467</v>
      </c>
    </row>
    <row r="856" spans="10:11" x14ac:dyDescent="0.3">
      <c r="J856" t="s">
        <v>20</v>
      </c>
      <c r="K856">
        <v>2662</v>
      </c>
    </row>
    <row r="857" spans="10:11" x14ac:dyDescent="0.3">
      <c r="J857" t="s">
        <v>20</v>
      </c>
      <c r="K857">
        <v>452</v>
      </c>
    </row>
    <row r="858" spans="10:11" x14ac:dyDescent="0.3">
      <c r="J858" t="s">
        <v>20</v>
      </c>
      <c r="K858">
        <v>158</v>
      </c>
    </row>
    <row r="859" spans="10:11" x14ac:dyDescent="0.3">
      <c r="J859" t="s">
        <v>20</v>
      </c>
      <c r="K859">
        <v>225</v>
      </c>
    </row>
    <row r="860" spans="10:11" x14ac:dyDescent="0.3">
      <c r="J860" t="s">
        <v>14</v>
      </c>
      <c r="K860">
        <v>35</v>
      </c>
    </row>
    <row r="861" spans="10:11" x14ac:dyDescent="0.3">
      <c r="J861" t="s">
        <v>14</v>
      </c>
      <c r="K861">
        <v>63</v>
      </c>
    </row>
    <row r="862" spans="10:11" x14ac:dyDescent="0.3">
      <c r="J862" t="s">
        <v>20</v>
      </c>
      <c r="K862">
        <v>65</v>
      </c>
    </row>
    <row r="863" spans="10:11" x14ac:dyDescent="0.3">
      <c r="J863" t="s">
        <v>20</v>
      </c>
      <c r="K863">
        <v>163</v>
      </c>
    </row>
    <row r="864" spans="10:11" x14ac:dyDescent="0.3">
      <c r="J864" t="s">
        <v>20</v>
      </c>
      <c r="K864">
        <v>85</v>
      </c>
    </row>
    <row r="865" spans="10:11" x14ac:dyDescent="0.3">
      <c r="J865" t="s">
        <v>20</v>
      </c>
      <c r="K865">
        <v>217</v>
      </c>
    </row>
    <row r="866" spans="10:11" x14ac:dyDescent="0.3">
      <c r="J866" t="s">
        <v>20</v>
      </c>
      <c r="K866">
        <v>150</v>
      </c>
    </row>
    <row r="867" spans="10:11" x14ac:dyDescent="0.3">
      <c r="J867" t="s">
        <v>20</v>
      </c>
      <c r="K867">
        <v>3272</v>
      </c>
    </row>
    <row r="868" spans="10:11" x14ac:dyDescent="0.3">
      <c r="J868" t="s">
        <v>74</v>
      </c>
      <c r="K868">
        <v>898</v>
      </c>
    </row>
    <row r="869" spans="10:11" x14ac:dyDescent="0.3">
      <c r="J869" t="s">
        <v>20</v>
      </c>
      <c r="K869">
        <v>300</v>
      </c>
    </row>
    <row r="870" spans="10:11" x14ac:dyDescent="0.3">
      <c r="J870" t="s">
        <v>20</v>
      </c>
      <c r="K870">
        <v>126</v>
      </c>
    </row>
    <row r="871" spans="10:11" x14ac:dyDescent="0.3">
      <c r="J871" t="s">
        <v>14</v>
      </c>
      <c r="K871">
        <v>526</v>
      </c>
    </row>
    <row r="872" spans="10:11" x14ac:dyDescent="0.3">
      <c r="J872" t="s">
        <v>14</v>
      </c>
      <c r="K872">
        <v>121</v>
      </c>
    </row>
    <row r="873" spans="10:11" x14ac:dyDescent="0.3">
      <c r="J873" t="s">
        <v>20</v>
      </c>
      <c r="K873">
        <v>2320</v>
      </c>
    </row>
    <row r="874" spans="10:11" x14ac:dyDescent="0.3">
      <c r="J874" t="s">
        <v>20</v>
      </c>
      <c r="K874">
        <v>81</v>
      </c>
    </row>
    <row r="875" spans="10:11" x14ac:dyDescent="0.3">
      <c r="J875" t="s">
        <v>20</v>
      </c>
      <c r="K875">
        <v>1887</v>
      </c>
    </row>
    <row r="876" spans="10:11" x14ac:dyDescent="0.3">
      <c r="J876" t="s">
        <v>20</v>
      </c>
      <c r="K876">
        <v>4358</v>
      </c>
    </row>
    <row r="877" spans="10:11" x14ac:dyDescent="0.3">
      <c r="J877" t="s">
        <v>14</v>
      </c>
      <c r="K877">
        <v>67</v>
      </c>
    </row>
    <row r="878" spans="10:11" x14ac:dyDescent="0.3">
      <c r="J878" t="s">
        <v>14</v>
      </c>
      <c r="K878">
        <v>57</v>
      </c>
    </row>
    <row r="879" spans="10:11" x14ac:dyDescent="0.3">
      <c r="J879" t="s">
        <v>14</v>
      </c>
      <c r="K879">
        <v>1229</v>
      </c>
    </row>
    <row r="880" spans="10:11" x14ac:dyDescent="0.3">
      <c r="J880" t="s">
        <v>14</v>
      </c>
      <c r="K880">
        <v>12</v>
      </c>
    </row>
    <row r="881" spans="10:11" x14ac:dyDescent="0.3">
      <c r="J881" t="s">
        <v>20</v>
      </c>
      <c r="K881">
        <v>53</v>
      </c>
    </row>
    <row r="882" spans="10:11" x14ac:dyDescent="0.3">
      <c r="J882" t="s">
        <v>20</v>
      </c>
      <c r="K882">
        <v>2414</v>
      </c>
    </row>
    <row r="883" spans="10:11" x14ac:dyDescent="0.3">
      <c r="J883" t="s">
        <v>14</v>
      </c>
      <c r="K883">
        <v>452</v>
      </c>
    </row>
    <row r="884" spans="10:11" x14ac:dyDescent="0.3">
      <c r="J884" t="s">
        <v>20</v>
      </c>
      <c r="K884">
        <v>80</v>
      </c>
    </row>
    <row r="885" spans="10:11" x14ac:dyDescent="0.3">
      <c r="J885" t="s">
        <v>20</v>
      </c>
      <c r="K885">
        <v>193</v>
      </c>
    </row>
    <row r="886" spans="10:11" x14ac:dyDescent="0.3">
      <c r="J886" t="s">
        <v>14</v>
      </c>
      <c r="K886">
        <v>1886</v>
      </c>
    </row>
    <row r="887" spans="10:11" x14ac:dyDescent="0.3">
      <c r="J887" t="s">
        <v>20</v>
      </c>
      <c r="K887">
        <v>52</v>
      </c>
    </row>
    <row r="888" spans="10:11" x14ac:dyDescent="0.3">
      <c r="J888" t="s">
        <v>14</v>
      </c>
      <c r="K888">
        <v>1825</v>
      </c>
    </row>
    <row r="889" spans="10:11" x14ac:dyDescent="0.3">
      <c r="J889" t="s">
        <v>14</v>
      </c>
      <c r="K889">
        <v>31</v>
      </c>
    </row>
    <row r="890" spans="10:11" x14ac:dyDescent="0.3">
      <c r="J890" t="s">
        <v>20</v>
      </c>
      <c r="K890">
        <v>290</v>
      </c>
    </row>
    <row r="891" spans="10:11" x14ac:dyDescent="0.3">
      <c r="J891" t="s">
        <v>20</v>
      </c>
      <c r="K891">
        <v>122</v>
      </c>
    </row>
    <row r="892" spans="10:11" x14ac:dyDescent="0.3">
      <c r="J892" t="s">
        <v>20</v>
      </c>
      <c r="K892">
        <v>1470</v>
      </c>
    </row>
    <row r="893" spans="10:11" x14ac:dyDescent="0.3">
      <c r="J893" t="s">
        <v>20</v>
      </c>
      <c r="K893">
        <v>165</v>
      </c>
    </row>
    <row r="894" spans="10:11" x14ac:dyDescent="0.3">
      <c r="J894" t="s">
        <v>20</v>
      </c>
      <c r="K894">
        <v>182</v>
      </c>
    </row>
    <row r="895" spans="10:11" x14ac:dyDescent="0.3">
      <c r="J895" t="s">
        <v>20</v>
      </c>
      <c r="K895">
        <v>199</v>
      </c>
    </row>
    <row r="896" spans="10:11" x14ac:dyDescent="0.3">
      <c r="J896" t="s">
        <v>20</v>
      </c>
      <c r="K896">
        <v>56</v>
      </c>
    </row>
    <row r="897" spans="10:11" x14ac:dyDescent="0.3">
      <c r="J897" t="s">
        <v>14</v>
      </c>
      <c r="K897">
        <v>107</v>
      </c>
    </row>
    <row r="898" spans="10:11" x14ac:dyDescent="0.3">
      <c r="J898" t="s">
        <v>20</v>
      </c>
      <c r="K898">
        <v>1460</v>
      </c>
    </row>
    <row r="899" spans="10:11" x14ac:dyDescent="0.3">
      <c r="J899" t="s">
        <v>14</v>
      </c>
      <c r="K899">
        <v>27</v>
      </c>
    </row>
    <row r="900" spans="10:11" x14ac:dyDescent="0.3">
      <c r="J900" t="s">
        <v>14</v>
      </c>
      <c r="K900">
        <v>1221</v>
      </c>
    </row>
    <row r="901" spans="10:11" x14ac:dyDescent="0.3">
      <c r="J901" t="s">
        <v>20</v>
      </c>
      <c r="K901">
        <v>123</v>
      </c>
    </row>
    <row r="902" spans="10:11" x14ac:dyDescent="0.3">
      <c r="J902" t="s">
        <v>14</v>
      </c>
      <c r="K902">
        <v>1</v>
      </c>
    </row>
    <row r="903" spans="10:11" x14ac:dyDescent="0.3">
      <c r="J903" t="s">
        <v>20</v>
      </c>
      <c r="K903">
        <v>159</v>
      </c>
    </row>
    <row r="904" spans="10:11" x14ac:dyDescent="0.3">
      <c r="J904" t="s">
        <v>20</v>
      </c>
      <c r="K904">
        <v>110</v>
      </c>
    </row>
    <row r="905" spans="10:11" x14ac:dyDescent="0.3">
      <c r="J905" t="s">
        <v>47</v>
      </c>
      <c r="K905">
        <v>14</v>
      </c>
    </row>
    <row r="906" spans="10:11" x14ac:dyDescent="0.3">
      <c r="J906" t="s">
        <v>14</v>
      </c>
      <c r="K906">
        <v>16</v>
      </c>
    </row>
    <row r="907" spans="10:11" x14ac:dyDescent="0.3">
      <c r="J907" t="s">
        <v>20</v>
      </c>
      <c r="K907">
        <v>236</v>
      </c>
    </row>
    <row r="908" spans="10:11" x14ac:dyDescent="0.3">
      <c r="J908" t="s">
        <v>20</v>
      </c>
      <c r="K908">
        <v>191</v>
      </c>
    </row>
    <row r="909" spans="10:11" x14ac:dyDescent="0.3">
      <c r="J909" t="s">
        <v>14</v>
      </c>
      <c r="K909">
        <v>41</v>
      </c>
    </row>
    <row r="910" spans="10:11" x14ac:dyDescent="0.3">
      <c r="J910" t="s">
        <v>20</v>
      </c>
      <c r="K910">
        <v>3934</v>
      </c>
    </row>
    <row r="911" spans="10:11" x14ac:dyDescent="0.3">
      <c r="J911" t="s">
        <v>20</v>
      </c>
      <c r="K911">
        <v>80</v>
      </c>
    </row>
    <row r="912" spans="10:11" x14ac:dyDescent="0.3">
      <c r="J912" t="s">
        <v>74</v>
      </c>
      <c r="K912">
        <v>296</v>
      </c>
    </row>
    <row r="913" spans="10:11" x14ac:dyDescent="0.3">
      <c r="J913" t="s">
        <v>20</v>
      </c>
      <c r="K913">
        <v>462</v>
      </c>
    </row>
    <row r="914" spans="10:11" x14ac:dyDescent="0.3">
      <c r="J914" t="s">
        <v>20</v>
      </c>
      <c r="K914">
        <v>179</v>
      </c>
    </row>
    <row r="915" spans="10:11" x14ac:dyDescent="0.3">
      <c r="J915" t="s">
        <v>14</v>
      </c>
      <c r="K915">
        <v>523</v>
      </c>
    </row>
    <row r="916" spans="10:11" x14ac:dyDescent="0.3">
      <c r="J916" t="s">
        <v>14</v>
      </c>
      <c r="K916">
        <v>141</v>
      </c>
    </row>
    <row r="917" spans="10:11" x14ac:dyDescent="0.3">
      <c r="J917" t="s">
        <v>20</v>
      </c>
      <c r="K917">
        <v>1866</v>
      </c>
    </row>
    <row r="918" spans="10:11" x14ac:dyDescent="0.3">
      <c r="J918" t="s">
        <v>14</v>
      </c>
      <c r="K918">
        <v>52</v>
      </c>
    </row>
    <row r="919" spans="10:11" x14ac:dyDescent="0.3">
      <c r="J919" t="s">
        <v>47</v>
      </c>
      <c r="K919">
        <v>27</v>
      </c>
    </row>
    <row r="920" spans="10:11" x14ac:dyDescent="0.3">
      <c r="J920" t="s">
        <v>20</v>
      </c>
      <c r="K920">
        <v>156</v>
      </c>
    </row>
    <row r="921" spans="10:11" x14ac:dyDescent="0.3">
      <c r="J921" t="s">
        <v>14</v>
      </c>
      <c r="K921">
        <v>225</v>
      </c>
    </row>
    <row r="922" spans="10:11" x14ac:dyDescent="0.3">
      <c r="J922" t="s">
        <v>20</v>
      </c>
      <c r="K922">
        <v>255</v>
      </c>
    </row>
    <row r="923" spans="10:11" x14ac:dyDescent="0.3">
      <c r="J923" t="s">
        <v>14</v>
      </c>
      <c r="K923">
        <v>38</v>
      </c>
    </row>
    <row r="924" spans="10:11" x14ac:dyDescent="0.3">
      <c r="J924" t="s">
        <v>20</v>
      </c>
      <c r="K924">
        <v>2261</v>
      </c>
    </row>
    <row r="925" spans="10:11" x14ac:dyDescent="0.3">
      <c r="J925" t="s">
        <v>20</v>
      </c>
      <c r="K925">
        <v>40</v>
      </c>
    </row>
    <row r="926" spans="10:11" x14ac:dyDescent="0.3">
      <c r="J926" t="s">
        <v>20</v>
      </c>
      <c r="K926">
        <v>2289</v>
      </c>
    </row>
    <row r="927" spans="10:11" x14ac:dyDescent="0.3">
      <c r="J927" t="s">
        <v>20</v>
      </c>
      <c r="K927">
        <v>65</v>
      </c>
    </row>
    <row r="928" spans="10:11" x14ac:dyDescent="0.3">
      <c r="J928" t="s">
        <v>14</v>
      </c>
      <c r="K928">
        <v>15</v>
      </c>
    </row>
    <row r="929" spans="10:11" x14ac:dyDescent="0.3">
      <c r="J929" t="s">
        <v>14</v>
      </c>
      <c r="K929">
        <v>37</v>
      </c>
    </row>
    <row r="930" spans="10:11" x14ac:dyDescent="0.3">
      <c r="J930" t="s">
        <v>20</v>
      </c>
      <c r="K930">
        <v>3777</v>
      </c>
    </row>
    <row r="931" spans="10:11" x14ac:dyDescent="0.3">
      <c r="J931" t="s">
        <v>20</v>
      </c>
      <c r="K931">
        <v>184</v>
      </c>
    </row>
    <row r="932" spans="10:11" x14ac:dyDescent="0.3">
      <c r="J932" t="s">
        <v>20</v>
      </c>
      <c r="K932">
        <v>85</v>
      </c>
    </row>
    <row r="933" spans="10:11" x14ac:dyDescent="0.3">
      <c r="J933" t="s">
        <v>14</v>
      </c>
      <c r="K933">
        <v>112</v>
      </c>
    </row>
    <row r="934" spans="10:11" x14ac:dyDescent="0.3">
      <c r="J934" t="s">
        <v>20</v>
      </c>
      <c r="K934">
        <v>144</v>
      </c>
    </row>
    <row r="935" spans="10:11" x14ac:dyDescent="0.3">
      <c r="J935" t="s">
        <v>20</v>
      </c>
      <c r="K935">
        <v>1902</v>
      </c>
    </row>
    <row r="936" spans="10:11" x14ac:dyDescent="0.3">
      <c r="J936" t="s">
        <v>20</v>
      </c>
      <c r="K936">
        <v>105</v>
      </c>
    </row>
    <row r="937" spans="10:11" x14ac:dyDescent="0.3">
      <c r="J937" t="s">
        <v>20</v>
      </c>
      <c r="K937">
        <v>132</v>
      </c>
    </row>
    <row r="938" spans="10:11" x14ac:dyDescent="0.3">
      <c r="J938" t="s">
        <v>14</v>
      </c>
      <c r="K938">
        <v>21</v>
      </c>
    </row>
    <row r="939" spans="10:11" x14ac:dyDescent="0.3">
      <c r="J939" t="s">
        <v>74</v>
      </c>
      <c r="K939">
        <v>976</v>
      </c>
    </row>
    <row r="940" spans="10:11" x14ac:dyDescent="0.3">
      <c r="J940" t="s">
        <v>20</v>
      </c>
      <c r="K940">
        <v>96</v>
      </c>
    </row>
    <row r="941" spans="10:11" x14ac:dyDescent="0.3">
      <c r="J941" t="s">
        <v>14</v>
      </c>
      <c r="K941">
        <v>67</v>
      </c>
    </row>
    <row r="942" spans="10:11" x14ac:dyDescent="0.3">
      <c r="J942" t="s">
        <v>47</v>
      </c>
      <c r="K942">
        <v>66</v>
      </c>
    </row>
    <row r="943" spans="10:11" x14ac:dyDescent="0.3">
      <c r="J943" t="s">
        <v>14</v>
      </c>
      <c r="K943">
        <v>78</v>
      </c>
    </row>
    <row r="944" spans="10:11" x14ac:dyDescent="0.3">
      <c r="J944" t="s">
        <v>14</v>
      </c>
      <c r="K944">
        <v>67</v>
      </c>
    </row>
    <row r="945" spans="10:11" x14ac:dyDescent="0.3">
      <c r="J945" t="s">
        <v>20</v>
      </c>
      <c r="K945">
        <v>114</v>
      </c>
    </row>
    <row r="946" spans="10:11" x14ac:dyDescent="0.3">
      <c r="J946" t="s">
        <v>14</v>
      </c>
      <c r="K946">
        <v>263</v>
      </c>
    </row>
    <row r="947" spans="10:11" x14ac:dyDescent="0.3">
      <c r="J947" t="s">
        <v>14</v>
      </c>
      <c r="K947">
        <v>1691</v>
      </c>
    </row>
    <row r="948" spans="10:11" x14ac:dyDescent="0.3">
      <c r="J948" t="s">
        <v>14</v>
      </c>
      <c r="K948">
        <v>181</v>
      </c>
    </row>
    <row r="949" spans="10:11" x14ac:dyDescent="0.3">
      <c r="J949" t="s">
        <v>14</v>
      </c>
      <c r="K949">
        <v>13</v>
      </c>
    </row>
    <row r="950" spans="10:11" x14ac:dyDescent="0.3">
      <c r="J950" t="s">
        <v>74</v>
      </c>
      <c r="K950">
        <v>160</v>
      </c>
    </row>
    <row r="951" spans="10:11" x14ac:dyDescent="0.3">
      <c r="J951" t="s">
        <v>20</v>
      </c>
      <c r="K951">
        <v>203</v>
      </c>
    </row>
    <row r="952" spans="10:11" x14ac:dyDescent="0.3">
      <c r="J952" t="s">
        <v>14</v>
      </c>
      <c r="K952">
        <v>1</v>
      </c>
    </row>
    <row r="953" spans="10:11" x14ac:dyDescent="0.3">
      <c r="J953" t="s">
        <v>20</v>
      </c>
      <c r="K953">
        <v>1559</v>
      </c>
    </row>
    <row r="954" spans="10:11" x14ac:dyDescent="0.3">
      <c r="J954" t="s">
        <v>74</v>
      </c>
      <c r="K954">
        <v>2266</v>
      </c>
    </row>
    <row r="955" spans="10:11" x14ac:dyDescent="0.3">
      <c r="J955" t="s">
        <v>14</v>
      </c>
      <c r="K955">
        <v>21</v>
      </c>
    </row>
    <row r="956" spans="10:11" x14ac:dyDescent="0.3">
      <c r="J956" t="s">
        <v>20</v>
      </c>
      <c r="K956">
        <v>1548</v>
      </c>
    </row>
    <row r="957" spans="10:11" x14ac:dyDescent="0.3">
      <c r="J957" t="s">
        <v>20</v>
      </c>
      <c r="K957">
        <v>80</v>
      </c>
    </row>
    <row r="958" spans="10:11" x14ac:dyDescent="0.3">
      <c r="J958" t="s">
        <v>14</v>
      </c>
      <c r="K958">
        <v>830</v>
      </c>
    </row>
    <row r="959" spans="10:11" x14ac:dyDescent="0.3">
      <c r="J959" t="s">
        <v>20</v>
      </c>
      <c r="K959">
        <v>131</v>
      </c>
    </row>
    <row r="960" spans="10:11" x14ac:dyDescent="0.3">
      <c r="J960" t="s">
        <v>20</v>
      </c>
      <c r="K960">
        <v>112</v>
      </c>
    </row>
    <row r="961" spans="10:11" x14ac:dyDescent="0.3">
      <c r="J961" t="s">
        <v>14</v>
      </c>
      <c r="K961">
        <v>130</v>
      </c>
    </row>
    <row r="962" spans="10:11" x14ac:dyDescent="0.3">
      <c r="J962" t="s">
        <v>14</v>
      </c>
      <c r="K962">
        <v>55</v>
      </c>
    </row>
    <row r="963" spans="10:11" x14ac:dyDescent="0.3">
      <c r="J963" t="s">
        <v>20</v>
      </c>
      <c r="K963">
        <v>155</v>
      </c>
    </row>
    <row r="964" spans="10:11" x14ac:dyDescent="0.3">
      <c r="J964" t="s">
        <v>20</v>
      </c>
      <c r="K964">
        <v>266</v>
      </c>
    </row>
    <row r="965" spans="10:11" x14ac:dyDescent="0.3">
      <c r="J965" t="s">
        <v>14</v>
      </c>
      <c r="K965">
        <v>114</v>
      </c>
    </row>
    <row r="966" spans="10:11" x14ac:dyDescent="0.3">
      <c r="J966" t="s">
        <v>20</v>
      </c>
      <c r="K966">
        <v>155</v>
      </c>
    </row>
    <row r="967" spans="10:11" x14ac:dyDescent="0.3">
      <c r="J967" t="s">
        <v>20</v>
      </c>
      <c r="K967">
        <v>207</v>
      </c>
    </row>
    <row r="968" spans="10:11" x14ac:dyDescent="0.3">
      <c r="J968" t="s">
        <v>20</v>
      </c>
      <c r="K968">
        <v>245</v>
      </c>
    </row>
    <row r="969" spans="10:11" x14ac:dyDescent="0.3">
      <c r="J969" t="s">
        <v>20</v>
      </c>
      <c r="K969">
        <v>1573</v>
      </c>
    </row>
    <row r="970" spans="10:11" x14ac:dyDescent="0.3">
      <c r="J970" t="s">
        <v>20</v>
      </c>
      <c r="K970">
        <v>114</v>
      </c>
    </row>
    <row r="971" spans="10:11" x14ac:dyDescent="0.3">
      <c r="J971" t="s">
        <v>20</v>
      </c>
      <c r="K971">
        <v>93</v>
      </c>
    </row>
    <row r="972" spans="10:11" x14ac:dyDescent="0.3">
      <c r="J972" t="s">
        <v>14</v>
      </c>
      <c r="K972">
        <v>594</v>
      </c>
    </row>
    <row r="973" spans="10:11" x14ac:dyDescent="0.3">
      <c r="J973" t="s">
        <v>14</v>
      </c>
      <c r="K973">
        <v>24</v>
      </c>
    </row>
    <row r="974" spans="10:11" x14ac:dyDescent="0.3">
      <c r="J974" t="s">
        <v>20</v>
      </c>
      <c r="K974">
        <v>1681</v>
      </c>
    </row>
    <row r="975" spans="10:11" x14ac:dyDescent="0.3">
      <c r="J975" t="s">
        <v>14</v>
      </c>
      <c r="K975">
        <v>252</v>
      </c>
    </row>
    <row r="976" spans="10:11" x14ac:dyDescent="0.3">
      <c r="J976" t="s">
        <v>20</v>
      </c>
      <c r="K976">
        <v>32</v>
      </c>
    </row>
    <row r="977" spans="10:11" x14ac:dyDescent="0.3">
      <c r="J977" t="s">
        <v>20</v>
      </c>
      <c r="K977">
        <v>135</v>
      </c>
    </row>
    <row r="978" spans="10:11" x14ac:dyDescent="0.3">
      <c r="J978" t="s">
        <v>20</v>
      </c>
      <c r="K978">
        <v>140</v>
      </c>
    </row>
    <row r="979" spans="10:11" x14ac:dyDescent="0.3">
      <c r="J979" t="s">
        <v>14</v>
      </c>
      <c r="K979">
        <v>67</v>
      </c>
    </row>
    <row r="980" spans="10:11" x14ac:dyDescent="0.3">
      <c r="J980" t="s">
        <v>20</v>
      </c>
      <c r="K980">
        <v>92</v>
      </c>
    </row>
    <row r="981" spans="10:11" x14ac:dyDescent="0.3">
      <c r="J981" t="s">
        <v>20</v>
      </c>
      <c r="K981">
        <v>1015</v>
      </c>
    </row>
    <row r="982" spans="10:11" x14ac:dyDescent="0.3">
      <c r="J982" t="s">
        <v>14</v>
      </c>
      <c r="K982">
        <v>742</v>
      </c>
    </row>
    <row r="983" spans="10:11" x14ac:dyDescent="0.3">
      <c r="J983" t="s">
        <v>20</v>
      </c>
      <c r="K983">
        <v>323</v>
      </c>
    </row>
    <row r="984" spans="10:11" x14ac:dyDescent="0.3">
      <c r="J984" t="s">
        <v>14</v>
      </c>
      <c r="K984">
        <v>75</v>
      </c>
    </row>
    <row r="985" spans="10:11" x14ac:dyDescent="0.3">
      <c r="J985" t="s">
        <v>20</v>
      </c>
      <c r="K985">
        <v>2326</v>
      </c>
    </row>
    <row r="986" spans="10:11" x14ac:dyDescent="0.3">
      <c r="J986" t="s">
        <v>20</v>
      </c>
      <c r="K986">
        <v>381</v>
      </c>
    </row>
    <row r="987" spans="10:11" x14ac:dyDescent="0.3">
      <c r="J987" t="s">
        <v>14</v>
      </c>
      <c r="K987">
        <v>4405</v>
      </c>
    </row>
    <row r="988" spans="10:11" x14ac:dyDescent="0.3">
      <c r="J988" t="s">
        <v>14</v>
      </c>
      <c r="K988">
        <v>92</v>
      </c>
    </row>
    <row r="989" spans="10:11" x14ac:dyDescent="0.3">
      <c r="J989" t="s">
        <v>20</v>
      </c>
      <c r="K989">
        <v>480</v>
      </c>
    </row>
    <row r="990" spans="10:11" x14ac:dyDescent="0.3">
      <c r="J990" t="s">
        <v>14</v>
      </c>
      <c r="K990">
        <v>64</v>
      </c>
    </row>
    <row r="991" spans="10:11" x14ac:dyDescent="0.3">
      <c r="J991" t="s">
        <v>20</v>
      </c>
      <c r="K991">
        <v>226</v>
      </c>
    </row>
    <row r="992" spans="10:11" x14ac:dyDescent="0.3">
      <c r="J992" t="s">
        <v>14</v>
      </c>
      <c r="K992">
        <v>64</v>
      </c>
    </row>
    <row r="993" spans="10:11" x14ac:dyDescent="0.3">
      <c r="J993" t="s">
        <v>20</v>
      </c>
      <c r="K993">
        <v>241</v>
      </c>
    </row>
    <row r="994" spans="10:11" x14ac:dyDescent="0.3">
      <c r="J994" t="s">
        <v>20</v>
      </c>
      <c r="K994">
        <v>132</v>
      </c>
    </row>
    <row r="995" spans="10:11" x14ac:dyDescent="0.3">
      <c r="J995" t="s">
        <v>74</v>
      </c>
      <c r="K995">
        <v>75</v>
      </c>
    </row>
    <row r="996" spans="10:11" x14ac:dyDescent="0.3">
      <c r="J996" t="s">
        <v>14</v>
      </c>
      <c r="K996">
        <v>842</v>
      </c>
    </row>
    <row r="997" spans="10:11" x14ac:dyDescent="0.3">
      <c r="J997" t="s">
        <v>20</v>
      </c>
      <c r="K997">
        <v>2043</v>
      </c>
    </row>
    <row r="998" spans="10:11" x14ac:dyDescent="0.3">
      <c r="J998" t="s">
        <v>14</v>
      </c>
      <c r="K998">
        <v>112</v>
      </c>
    </row>
    <row r="999" spans="10:11" x14ac:dyDescent="0.3">
      <c r="J999" t="s">
        <v>74</v>
      </c>
      <c r="K999">
        <v>139</v>
      </c>
    </row>
    <row r="1000" spans="10:11" x14ac:dyDescent="0.3">
      <c r="J1000" t="s">
        <v>14</v>
      </c>
      <c r="K1000">
        <v>374</v>
      </c>
    </row>
    <row r="1001" spans="10:11" x14ac:dyDescent="0.3">
      <c r="J1001" t="s">
        <v>74</v>
      </c>
      <c r="K1001">
        <v>1122</v>
      </c>
    </row>
  </sheetData>
  <conditionalFormatting sqref="J1:J1048576">
    <cfRule type="containsText" dxfId="4" priority="1" operator="containsText" text="canceled">
      <formula>NOT(ISERROR(SEARCH("canceled",J1)))</formula>
    </cfRule>
    <cfRule type="containsText" priority="2" operator="containsText" text="canceled">
      <formula>NOT(ISERROR(SEARCH("canceled",J1)))</formula>
    </cfRule>
    <cfRule type="containsText" dxfId="3" priority="3" operator="containsText" text="live">
      <formula>NOT(ISERROR(SEARCH("live",J1)))</formula>
    </cfRule>
    <cfRule type="containsText" dxfId="2" priority="4" operator="containsText" text="successful">
      <formula>NOT(ISERROR(SEARCH("successful",J1)))</formula>
    </cfRule>
    <cfRule type="containsText" dxfId="1" priority="5" operator="containsText" text="successfull">
      <formula>NOT(ISERROR(SEARCH("successfull",J1)))</formula>
    </cfRule>
    <cfRule type="containsText" dxfId="0" priority="6" operator="containsText" text="failed">
      <formula>NOT(ISERROR(SEARCH("failed",J1)))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53A42-BC20-4F6E-BAFA-9FBB473CF0EA}">
  <sheetPr codeName="Sheet3"/>
  <dimension ref="A1:F14"/>
  <sheetViews>
    <sheetView workbookViewId="0">
      <selection activeCell="K18" sqref="K18"/>
    </sheetView>
  </sheetViews>
  <sheetFormatPr defaultRowHeight="15.6" x14ac:dyDescent="0.3"/>
  <cols>
    <col min="1" max="1" width="16.19921875" bestFit="1" customWidth="1"/>
    <col min="2" max="2" width="15.19921875" bestFit="1" customWidth="1"/>
    <col min="3" max="3" width="5.59765625" bestFit="1" customWidth="1"/>
    <col min="4" max="4" width="3.796875" bestFit="1" customWidth="1"/>
    <col min="5" max="5" width="9.19921875" bestFit="1" customWidth="1"/>
    <col min="6" max="7" width="10.8984375" bestFit="1" customWidth="1"/>
  </cols>
  <sheetData>
    <row r="1" spans="1:6" x14ac:dyDescent="0.3">
      <c r="A1" s="5" t="s">
        <v>6</v>
      </c>
      <c r="B1" t="s">
        <v>2045</v>
      </c>
    </row>
    <row r="3" spans="1:6" x14ac:dyDescent="0.3">
      <c r="A3" s="5" t="s">
        <v>2034</v>
      </c>
      <c r="B3" s="5" t="s">
        <v>2035</v>
      </c>
    </row>
    <row r="4" spans="1:6" x14ac:dyDescent="0.3">
      <c r="A4" s="5" t="s">
        <v>2032</v>
      </c>
      <c r="B4" t="s">
        <v>74</v>
      </c>
      <c r="C4" t="s">
        <v>14</v>
      </c>
      <c r="D4" t="s">
        <v>47</v>
      </c>
      <c r="E4" t="s">
        <v>20</v>
      </c>
      <c r="F4" t="s">
        <v>2033</v>
      </c>
    </row>
    <row r="5" spans="1:6" x14ac:dyDescent="0.3">
      <c r="A5" s="6" t="s">
        <v>2036</v>
      </c>
      <c r="B5">
        <v>11</v>
      </c>
      <c r="C5">
        <v>60</v>
      </c>
      <c r="D5">
        <v>5</v>
      </c>
      <c r="E5">
        <v>102</v>
      </c>
      <c r="F5">
        <v>178</v>
      </c>
    </row>
    <row r="6" spans="1:6" x14ac:dyDescent="0.3">
      <c r="A6" s="6" t="s">
        <v>2037</v>
      </c>
      <c r="B6">
        <v>4</v>
      </c>
      <c r="C6">
        <v>20</v>
      </c>
      <c r="E6">
        <v>22</v>
      </c>
      <c r="F6">
        <v>46</v>
      </c>
    </row>
    <row r="7" spans="1:6" x14ac:dyDescent="0.3">
      <c r="A7" s="6" t="s">
        <v>2038</v>
      </c>
      <c r="B7">
        <v>1</v>
      </c>
      <c r="C7">
        <v>23</v>
      </c>
      <c r="D7">
        <v>3</v>
      </c>
      <c r="E7">
        <v>21</v>
      </c>
      <c r="F7">
        <v>48</v>
      </c>
    </row>
    <row r="8" spans="1:6" x14ac:dyDescent="0.3">
      <c r="A8" s="6" t="s">
        <v>2039</v>
      </c>
      <c r="E8">
        <v>4</v>
      </c>
      <c r="F8">
        <v>4</v>
      </c>
    </row>
    <row r="9" spans="1:6" x14ac:dyDescent="0.3">
      <c r="A9" s="6" t="s">
        <v>2040</v>
      </c>
      <c r="B9">
        <v>10</v>
      </c>
      <c r="C9">
        <v>66</v>
      </c>
      <c r="E9">
        <v>99</v>
      </c>
      <c r="F9">
        <v>175</v>
      </c>
    </row>
    <row r="10" spans="1:6" x14ac:dyDescent="0.3">
      <c r="A10" s="6" t="s">
        <v>2041</v>
      </c>
      <c r="B10">
        <v>4</v>
      </c>
      <c r="C10">
        <v>11</v>
      </c>
      <c r="D10">
        <v>1</v>
      </c>
      <c r="E10">
        <v>26</v>
      </c>
      <c r="F10">
        <v>42</v>
      </c>
    </row>
    <row r="11" spans="1:6" x14ac:dyDescent="0.3">
      <c r="A11" s="6" t="s">
        <v>2042</v>
      </c>
      <c r="B11">
        <v>2</v>
      </c>
      <c r="C11">
        <v>24</v>
      </c>
      <c r="D11">
        <v>1</v>
      </c>
      <c r="E11">
        <v>40</v>
      </c>
      <c r="F11">
        <v>67</v>
      </c>
    </row>
    <row r="12" spans="1:6" x14ac:dyDescent="0.3">
      <c r="A12" s="6" t="s">
        <v>2043</v>
      </c>
      <c r="B12">
        <v>2</v>
      </c>
      <c r="C12">
        <v>28</v>
      </c>
      <c r="D12">
        <v>2</v>
      </c>
      <c r="E12">
        <v>64</v>
      </c>
      <c r="F12">
        <v>96</v>
      </c>
    </row>
    <row r="13" spans="1:6" x14ac:dyDescent="0.3">
      <c r="A13" s="6" t="s">
        <v>2044</v>
      </c>
      <c r="B13">
        <v>23</v>
      </c>
      <c r="C13">
        <v>132</v>
      </c>
      <c r="D13">
        <v>2</v>
      </c>
      <c r="E13">
        <v>187</v>
      </c>
      <c r="F13">
        <v>344</v>
      </c>
    </row>
    <row r="14" spans="1:6" x14ac:dyDescent="0.3">
      <c r="A14" s="6" t="s">
        <v>2033</v>
      </c>
      <c r="B14">
        <v>57</v>
      </c>
      <c r="C14">
        <v>364</v>
      </c>
      <c r="D14">
        <v>14</v>
      </c>
      <c r="E14">
        <v>565</v>
      </c>
      <c r="F14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EF26A-BD0A-43EE-99E0-393ADE51B9B4}">
  <dimension ref="A1:J1001"/>
  <sheetViews>
    <sheetView zoomScale="80" zoomScaleNormal="80" workbookViewId="0">
      <selection activeCell="B3" sqref="B3"/>
    </sheetView>
  </sheetViews>
  <sheetFormatPr defaultRowHeight="15.6" x14ac:dyDescent="0.3"/>
  <cols>
    <col min="1" max="1" width="26.5" customWidth="1"/>
    <col min="2" max="2" width="18.796875" customWidth="1"/>
    <col min="3" max="3" width="18.69921875" customWidth="1"/>
    <col min="4" max="4" width="17.796875" customWidth="1"/>
    <col min="5" max="5" width="14.3984375" customWidth="1"/>
    <col min="6" max="6" width="21.3984375" customWidth="1"/>
    <col min="7" max="7" width="19.796875" customWidth="1"/>
    <col min="8" max="8" width="20.3984375" customWidth="1"/>
    <col min="9" max="10" width="11.19921875"/>
  </cols>
  <sheetData>
    <row r="1" spans="1:10" x14ac:dyDescent="0.3">
      <c r="A1" t="s">
        <v>2046</v>
      </c>
      <c r="B1" t="s">
        <v>2047</v>
      </c>
      <c r="C1" t="s">
        <v>2059</v>
      </c>
      <c r="D1" t="s">
        <v>2048</v>
      </c>
      <c r="E1" t="s">
        <v>2049</v>
      </c>
      <c r="F1" t="s">
        <v>2050</v>
      </c>
      <c r="G1" t="s">
        <v>2051</v>
      </c>
      <c r="H1" t="s">
        <v>2052</v>
      </c>
      <c r="I1" s="1" t="s">
        <v>4</v>
      </c>
      <c r="J1" s="1" t="s">
        <v>2</v>
      </c>
    </row>
    <row r="2" spans="1:10" x14ac:dyDescent="0.3">
      <c r="A2" t="s">
        <v>2060</v>
      </c>
      <c r="B2">
        <f>COUNTIFS(J2:J1000,"&lt;1000", I2:I1000,"=SUCCESSFUL")</f>
        <v>30</v>
      </c>
      <c r="C2">
        <f>COUNTIFS(J2:J1000,"&lt;1000", I2:I1000,"=Failed")</f>
        <v>20</v>
      </c>
      <c r="D2">
        <f>COUNTIFS(J2:J1000,"&lt;1000", I2:I1000,"=Canceled")</f>
        <v>1</v>
      </c>
      <c r="E2">
        <f>SUM(B2:D2)</f>
        <v>51</v>
      </c>
      <c r="F2" s="4">
        <f>B2/E2</f>
        <v>0.58823529411764708</v>
      </c>
      <c r="G2" s="4">
        <f>C2/E2</f>
        <v>0.39215686274509803</v>
      </c>
      <c r="H2" s="4">
        <f>D2/E2</f>
        <v>1.9607843137254902E-2</v>
      </c>
      <c r="I2" t="s">
        <v>14</v>
      </c>
      <c r="J2">
        <v>100</v>
      </c>
    </row>
    <row r="3" spans="1:10" x14ac:dyDescent="0.3">
      <c r="A3" t="s">
        <v>2053</v>
      </c>
      <c r="B3">
        <f>COUNTIFS(J2:J1000,"&gt;=1000", J2:J1000,"&lt;=4999", I2:I1000,"=SUCCESSFUL")</f>
        <v>191</v>
      </c>
      <c r="C3">
        <f>COUNTIFS(J2:J1000,"&gt;=1000", J2:J1000,"&lt;=4999", I2:I1000,"=Failed")</f>
        <v>38</v>
      </c>
      <c r="D3">
        <f>COUNTIFS(J2:J1000,"&gt;=1000", J2:J1000,"&lt;=4999", I2:I1000,"=Canceled")</f>
        <v>2</v>
      </c>
      <c r="E3">
        <f t="shared" ref="E3:E13" si="0">SUM(B3:D3)</f>
        <v>231</v>
      </c>
      <c r="F3" s="4">
        <f t="shared" ref="F3:F13" si="1">B3/E3</f>
        <v>0.82683982683982682</v>
      </c>
      <c r="G3" s="4">
        <f t="shared" ref="G3:G13" si="2">C3/E3</f>
        <v>0.16450216450216451</v>
      </c>
      <c r="H3" s="4">
        <f t="shared" ref="H3:H13" si="3">D3/E3</f>
        <v>8.658008658008658E-3</v>
      </c>
      <c r="I3" t="s">
        <v>20</v>
      </c>
      <c r="J3">
        <v>1400</v>
      </c>
    </row>
    <row r="4" spans="1:10" x14ac:dyDescent="0.3">
      <c r="A4" t="s">
        <v>2054</v>
      </c>
      <c r="B4">
        <f>COUNTIFS(J2:J1000,"&gt;=5000", J2:J1000,"&lt;=9999", I2:I1000,"=SUCCESSFUL")</f>
        <v>164</v>
      </c>
      <c r="C4">
        <f>COUNTIFS(J2:J1000,"&gt;=5000", J2:J1000,"&lt;=9999", I2:I1000,"=Failed")</f>
        <v>126</v>
      </c>
      <c r="D4">
        <f>COUNTIFS(J2:J1000,"&gt;=5000", J2:J1000,"&lt;=9999", I2:I1000,"=Canceled")</f>
        <v>25</v>
      </c>
      <c r="E4">
        <f t="shared" si="0"/>
        <v>315</v>
      </c>
      <c r="F4" s="4">
        <f t="shared" si="1"/>
        <v>0.52063492063492067</v>
      </c>
      <c r="G4" s="4">
        <f t="shared" si="2"/>
        <v>0.4</v>
      </c>
      <c r="H4" s="4">
        <f t="shared" si="3"/>
        <v>7.9365079365079361E-2</v>
      </c>
      <c r="I4" t="s">
        <v>20</v>
      </c>
      <c r="J4">
        <v>108400</v>
      </c>
    </row>
    <row r="5" spans="1:10" x14ac:dyDescent="0.3">
      <c r="A5" t="s">
        <v>2055</v>
      </c>
      <c r="B5">
        <f>COUNTIFS(J2:J1000,"&gt;=10000", J2:J1000,"&lt;=14999", I2:I1000,"=SUCCESSFUL")</f>
        <v>4</v>
      </c>
      <c r="C5">
        <f>COUNTIFS(J2:J1000,"&gt;=10000", J2:J1000,"&lt;=14999", I2:I1000,"=Failed")</f>
        <v>5</v>
      </c>
      <c r="D5">
        <f>COUNTIFS(J2:J1000,"&gt;=10000", J2:J1000,"&lt;=14999", I2:I1000,"=Canceled")</f>
        <v>0</v>
      </c>
      <c r="E5">
        <f t="shared" si="0"/>
        <v>9</v>
      </c>
      <c r="F5" s="4">
        <f t="shared" si="1"/>
        <v>0.44444444444444442</v>
      </c>
      <c r="G5" s="4">
        <f t="shared" si="2"/>
        <v>0.55555555555555558</v>
      </c>
      <c r="H5" s="4">
        <f t="shared" si="3"/>
        <v>0</v>
      </c>
      <c r="I5" t="s">
        <v>14</v>
      </c>
      <c r="J5">
        <v>4200</v>
      </c>
    </row>
    <row r="6" spans="1:10" x14ac:dyDescent="0.3">
      <c r="A6" t="s">
        <v>2056</v>
      </c>
      <c r="B6">
        <f>COUNTIFS(J2:J1000,"&gt;=15000", J2:J1000,"&lt;=19999", I2:I1000,"=SUCCESSFUL")</f>
        <v>10</v>
      </c>
      <c r="C6">
        <f>COUNTIFS(J2:J1000,"&gt;=15000", J2:J1000,"&lt;=19999", I2:I1000,"=Failed")</f>
        <v>0</v>
      </c>
      <c r="D6">
        <f>COUNTIFS(J2:J1000,"&gt;=15000", J2:J1000,"&lt;=19999", I2:I1000,"=Canceled")</f>
        <v>0</v>
      </c>
      <c r="E6">
        <f t="shared" si="0"/>
        <v>10</v>
      </c>
      <c r="F6" s="4">
        <f t="shared" si="1"/>
        <v>1</v>
      </c>
      <c r="G6" s="4">
        <f t="shared" si="2"/>
        <v>0</v>
      </c>
      <c r="H6" s="4">
        <f t="shared" si="3"/>
        <v>0</v>
      </c>
      <c r="I6" t="s">
        <v>14</v>
      </c>
      <c r="J6">
        <v>7600</v>
      </c>
    </row>
    <row r="7" spans="1:10" x14ac:dyDescent="0.3">
      <c r="A7" t="s">
        <v>2057</v>
      </c>
      <c r="B7">
        <f>COUNTIFS(J2:J1000,"&gt;=20000", J2:J1000,"&lt;=24999", I2:I1000,"=SUCCESSFUL")</f>
        <v>7</v>
      </c>
      <c r="C7">
        <f>COUNTIFS(J2:J1000,"&gt;=20000", J2:J1000,"&lt;=24999", I2:I1000,"=Failed")</f>
        <v>0</v>
      </c>
      <c r="D7">
        <f>COUNTIFS(J2:J1000,"&gt;=20000", J2:J1000,"&lt;=24999", I2:I1000,"=Canceled")</f>
        <v>0</v>
      </c>
      <c r="E7">
        <f t="shared" si="0"/>
        <v>7</v>
      </c>
      <c r="F7" s="4">
        <f t="shared" si="1"/>
        <v>1</v>
      </c>
      <c r="G7" s="4">
        <f t="shared" si="2"/>
        <v>0</v>
      </c>
      <c r="H7" s="4">
        <f t="shared" si="3"/>
        <v>0</v>
      </c>
      <c r="I7" t="s">
        <v>20</v>
      </c>
      <c r="J7">
        <v>7600</v>
      </c>
    </row>
    <row r="8" spans="1:10" x14ac:dyDescent="0.3">
      <c r="A8" t="s">
        <v>2061</v>
      </c>
      <c r="B8">
        <f>COUNTIFS(J2:J1000,"&gt;=25000", J2:J1000,"&lt;=29999", I2:I1000,"=SUCCESSFUL")</f>
        <v>11</v>
      </c>
      <c r="C8">
        <f>COUNTIFS(J2:J1000,"&gt;=25000", J2:J1000,"&lt;=29999", I2:I1000,"=Failed")</f>
        <v>3</v>
      </c>
      <c r="D8">
        <f>COUNTIFS(J2:J1000,"&gt;=25000", J2:J1000,"&lt;=29999", I2:I1000,"=Canceled")</f>
        <v>0</v>
      </c>
      <c r="E8">
        <f t="shared" si="0"/>
        <v>14</v>
      </c>
      <c r="F8" s="4">
        <f t="shared" si="1"/>
        <v>0.7857142857142857</v>
      </c>
      <c r="G8" s="4">
        <f t="shared" si="2"/>
        <v>0.21428571428571427</v>
      </c>
      <c r="H8" s="4">
        <f t="shared" si="3"/>
        <v>0</v>
      </c>
      <c r="I8" t="s">
        <v>14</v>
      </c>
      <c r="J8">
        <v>5200</v>
      </c>
    </row>
    <row r="9" spans="1:10" x14ac:dyDescent="0.3">
      <c r="A9" t="s">
        <v>2062</v>
      </c>
      <c r="B9">
        <f>COUNTIFS(J2:J1000,"&gt;=30000", J2:J1000,"&lt;=34999", I2:I1000,"=SUCCESSFUL")</f>
        <v>7</v>
      </c>
      <c r="C9">
        <f>COUNTIFS(J2:J1000,"&gt;=30000", J2:J1000,"&lt;=34999", I2:I1000,"=Failed")</f>
        <v>0</v>
      </c>
      <c r="D9">
        <f>COUNTIFS(J2:J1000,"&gt;=30000", J2:J1000,"&lt;=34999", I2:I1000,"=Canceled")</f>
        <v>0</v>
      </c>
      <c r="E9">
        <f t="shared" si="0"/>
        <v>7</v>
      </c>
      <c r="F9" s="4">
        <f t="shared" si="1"/>
        <v>1</v>
      </c>
      <c r="G9" s="4">
        <f t="shared" si="2"/>
        <v>0</v>
      </c>
      <c r="H9" s="4">
        <f t="shared" si="3"/>
        <v>0</v>
      </c>
      <c r="I9" t="s">
        <v>20</v>
      </c>
      <c r="J9">
        <v>4500</v>
      </c>
    </row>
    <row r="10" spans="1:10" x14ac:dyDescent="0.3">
      <c r="A10" t="s">
        <v>2058</v>
      </c>
      <c r="B10">
        <f>COUNTIFS(J2:J1000,"&gt;=35000", J2:J1000,"&lt;=39999", I2:I1000,"=SUCCESSFUL")</f>
        <v>8</v>
      </c>
      <c r="C10">
        <f>COUNTIFS(J2:J1000,"&gt;=35000", J2:J1000,"&lt;=39999", I2:I1000,"=Failed")</f>
        <v>3</v>
      </c>
      <c r="D10">
        <f>COUNTIFS(J2:J1000,"&gt;=35000", J2:J1000,"&lt;=39999", I2:I1000,"=Canceled")</f>
        <v>1</v>
      </c>
      <c r="E10">
        <f t="shared" si="0"/>
        <v>12</v>
      </c>
      <c r="F10" s="4">
        <f t="shared" si="1"/>
        <v>0.66666666666666663</v>
      </c>
      <c r="G10" s="4">
        <f t="shared" si="2"/>
        <v>0.25</v>
      </c>
      <c r="H10" s="4">
        <f t="shared" si="3"/>
        <v>8.3333333333333329E-2</v>
      </c>
      <c r="I10" t="s">
        <v>47</v>
      </c>
      <c r="J10">
        <v>110100</v>
      </c>
    </row>
    <row r="11" spans="1:10" x14ac:dyDescent="0.3">
      <c r="A11" t="s">
        <v>2065</v>
      </c>
      <c r="B11">
        <f>COUNTIFS(J2:J1000,"&gt;=40000", J2:J1000,"&lt;=44999", I2:I1000,"=SUCCESSFUL")</f>
        <v>11</v>
      </c>
      <c r="C11">
        <f>COUNTIFS(J2:J1000,"&gt;=40000", J2:J1000,"&lt;=44999", I2:I1000,"=Failed")</f>
        <v>3</v>
      </c>
      <c r="D11">
        <f>COUNTIFS(J2:J1000,"&gt;=40000", J2:J1000,"&lt;=44999", I2:I1000,"=Canceled")</f>
        <v>0</v>
      </c>
      <c r="E11">
        <f t="shared" si="0"/>
        <v>14</v>
      </c>
      <c r="F11" s="4">
        <f t="shared" si="1"/>
        <v>0.7857142857142857</v>
      </c>
      <c r="G11" s="4">
        <f t="shared" si="2"/>
        <v>0.21428571428571427</v>
      </c>
      <c r="H11" s="4">
        <f t="shared" si="3"/>
        <v>0</v>
      </c>
      <c r="I11" t="s">
        <v>14</v>
      </c>
      <c r="J11">
        <v>6200</v>
      </c>
    </row>
    <row r="12" spans="1:10" x14ac:dyDescent="0.3">
      <c r="A12" t="s">
        <v>2063</v>
      </c>
      <c r="B12">
        <f>COUNTIFS(J2:J1000,"&gt;=45000", J2:J1000,"&lt;=49999", I2:I1000,"=SUCCESSFUL")</f>
        <v>8</v>
      </c>
      <c r="C12">
        <f>COUNTIFS(J2:J1000,"&gt;=45000", J2:J1000,"&lt;=49999", I2:I1000,"=Failed")</f>
        <v>3</v>
      </c>
      <c r="D12">
        <f>COUNTIFS(J2:J1000,"&gt;=45000", J2:J1000,"&lt;=49999", I2:I1000,"=Canceled")</f>
        <v>0</v>
      </c>
      <c r="E12">
        <f t="shared" si="0"/>
        <v>11</v>
      </c>
      <c r="F12" s="4">
        <f t="shared" si="1"/>
        <v>0.72727272727272729</v>
      </c>
      <c r="G12" s="4">
        <f t="shared" si="2"/>
        <v>0.27272727272727271</v>
      </c>
      <c r="H12" s="4">
        <f t="shared" si="3"/>
        <v>0</v>
      </c>
      <c r="I12" t="s">
        <v>20</v>
      </c>
      <c r="J12">
        <v>5200</v>
      </c>
    </row>
    <row r="13" spans="1:10" x14ac:dyDescent="0.3">
      <c r="A13" t="s">
        <v>2064</v>
      </c>
      <c r="B13">
        <f>COUNTIFS(J2:J1000,"&gt;=50000",  I2:I1000,"=SUCCESSFUL")</f>
        <v>114</v>
      </c>
      <c r="C13">
        <f>COUNTIFS(J2:J1000,"&gt;=50000",  I2:I1000,"=Failed")</f>
        <v>163</v>
      </c>
      <c r="D13">
        <f>COUNTIFS(J2:J1000,"&gt;=50000",  I2:I1000,"=Canceled")</f>
        <v>27</v>
      </c>
      <c r="E13">
        <f t="shared" si="0"/>
        <v>304</v>
      </c>
      <c r="F13" s="4">
        <f t="shared" si="1"/>
        <v>0.375</v>
      </c>
      <c r="G13" s="4">
        <f t="shared" si="2"/>
        <v>0.53618421052631582</v>
      </c>
      <c r="H13" s="4">
        <f t="shared" si="3"/>
        <v>8.8815789473684209E-2</v>
      </c>
      <c r="I13" t="s">
        <v>14</v>
      </c>
      <c r="J13">
        <v>6300</v>
      </c>
    </row>
    <row r="14" spans="1:10" x14ac:dyDescent="0.3">
      <c r="I14" t="s">
        <v>14</v>
      </c>
      <c r="J14">
        <v>6300</v>
      </c>
    </row>
    <row r="15" spans="1:10" x14ac:dyDescent="0.3">
      <c r="I15" t="s">
        <v>20</v>
      </c>
      <c r="J15">
        <v>4200</v>
      </c>
    </row>
    <row r="16" spans="1:10" x14ac:dyDescent="0.3">
      <c r="I16" t="s">
        <v>14</v>
      </c>
      <c r="J16">
        <v>28200</v>
      </c>
    </row>
    <row r="17" spans="9:10" x14ac:dyDescent="0.3">
      <c r="I17" t="s">
        <v>14</v>
      </c>
      <c r="J17">
        <v>81200</v>
      </c>
    </row>
    <row r="18" spans="9:10" x14ac:dyDescent="0.3">
      <c r="I18" t="s">
        <v>20</v>
      </c>
      <c r="J18">
        <v>1700</v>
      </c>
    </row>
    <row r="19" spans="9:10" x14ac:dyDescent="0.3">
      <c r="I19" t="s">
        <v>20</v>
      </c>
      <c r="J19">
        <v>84600</v>
      </c>
    </row>
    <row r="20" spans="9:10" x14ac:dyDescent="0.3">
      <c r="I20" t="s">
        <v>74</v>
      </c>
      <c r="J20">
        <v>9100</v>
      </c>
    </row>
    <row r="21" spans="9:10" x14ac:dyDescent="0.3">
      <c r="I21" t="s">
        <v>14</v>
      </c>
      <c r="J21">
        <v>62500</v>
      </c>
    </row>
    <row r="22" spans="9:10" x14ac:dyDescent="0.3">
      <c r="I22" t="s">
        <v>20</v>
      </c>
      <c r="J22">
        <v>131800</v>
      </c>
    </row>
    <row r="23" spans="9:10" x14ac:dyDescent="0.3">
      <c r="I23" t="s">
        <v>14</v>
      </c>
      <c r="J23">
        <v>94000</v>
      </c>
    </row>
    <row r="24" spans="9:10" x14ac:dyDescent="0.3">
      <c r="I24" t="s">
        <v>20</v>
      </c>
      <c r="J24">
        <v>59100</v>
      </c>
    </row>
    <row r="25" spans="9:10" x14ac:dyDescent="0.3">
      <c r="I25" t="s">
        <v>20</v>
      </c>
      <c r="J25">
        <v>4500</v>
      </c>
    </row>
    <row r="26" spans="9:10" x14ac:dyDescent="0.3">
      <c r="I26" t="s">
        <v>20</v>
      </c>
      <c r="J26">
        <v>92400</v>
      </c>
    </row>
    <row r="27" spans="9:10" x14ac:dyDescent="0.3">
      <c r="I27" t="s">
        <v>20</v>
      </c>
      <c r="J27">
        <v>5500</v>
      </c>
    </row>
    <row r="28" spans="9:10" x14ac:dyDescent="0.3">
      <c r="I28" t="s">
        <v>74</v>
      </c>
      <c r="J28">
        <v>107500</v>
      </c>
    </row>
    <row r="29" spans="9:10" x14ac:dyDescent="0.3">
      <c r="I29" t="s">
        <v>14</v>
      </c>
      <c r="J29">
        <v>2000</v>
      </c>
    </row>
    <row r="30" spans="9:10" x14ac:dyDescent="0.3">
      <c r="I30" t="s">
        <v>20</v>
      </c>
      <c r="J30">
        <v>130800</v>
      </c>
    </row>
    <row r="31" spans="9:10" x14ac:dyDescent="0.3">
      <c r="I31" t="s">
        <v>20</v>
      </c>
      <c r="J31">
        <v>45900</v>
      </c>
    </row>
    <row r="32" spans="9:10" x14ac:dyDescent="0.3">
      <c r="I32" t="s">
        <v>20</v>
      </c>
      <c r="J32">
        <v>9000</v>
      </c>
    </row>
    <row r="33" spans="9:10" x14ac:dyDescent="0.3">
      <c r="I33" t="s">
        <v>20</v>
      </c>
      <c r="J33">
        <v>3500</v>
      </c>
    </row>
    <row r="34" spans="9:10" x14ac:dyDescent="0.3">
      <c r="I34" t="s">
        <v>14</v>
      </c>
      <c r="J34">
        <v>101000</v>
      </c>
    </row>
    <row r="35" spans="9:10" x14ac:dyDescent="0.3">
      <c r="I35" t="s">
        <v>20</v>
      </c>
      <c r="J35">
        <v>50200</v>
      </c>
    </row>
    <row r="36" spans="9:10" x14ac:dyDescent="0.3">
      <c r="I36" t="s">
        <v>20</v>
      </c>
      <c r="J36">
        <v>9300</v>
      </c>
    </row>
    <row r="37" spans="9:10" x14ac:dyDescent="0.3">
      <c r="I37" t="s">
        <v>20</v>
      </c>
      <c r="J37">
        <v>125500</v>
      </c>
    </row>
    <row r="38" spans="9:10" x14ac:dyDescent="0.3">
      <c r="I38" t="s">
        <v>20</v>
      </c>
      <c r="J38">
        <v>700</v>
      </c>
    </row>
    <row r="39" spans="9:10" x14ac:dyDescent="0.3">
      <c r="I39" t="s">
        <v>20</v>
      </c>
      <c r="J39">
        <v>8100</v>
      </c>
    </row>
    <row r="40" spans="9:10" x14ac:dyDescent="0.3">
      <c r="I40" t="s">
        <v>20</v>
      </c>
      <c r="J40">
        <v>3100</v>
      </c>
    </row>
    <row r="41" spans="9:10" x14ac:dyDescent="0.3">
      <c r="I41" t="s">
        <v>14</v>
      </c>
      <c r="J41">
        <v>9900</v>
      </c>
    </row>
    <row r="42" spans="9:10" x14ac:dyDescent="0.3">
      <c r="I42" t="s">
        <v>20</v>
      </c>
      <c r="J42">
        <v>8800</v>
      </c>
    </row>
    <row r="43" spans="9:10" x14ac:dyDescent="0.3">
      <c r="I43" t="s">
        <v>20</v>
      </c>
      <c r="J43">
        <v>5600</v>
      </c>
    </row>
    <row r="44" spans="9:10" x14ac:dyDescent="0.3">
      <c r="I44" t="s">
        <v>20</v>
      </c>
      <c r="J44">
        <v>1800</v>
      </c>
    </row>
    <row r="45" spans="9:10" x14ac:dyDescent="0.3">
      <c r="I45" t="s">
        <v>20</v>
      </c>
      <c r="J45">
        <v>90200</v>
      </c>
    </row>
    <row r="46" spans="9:10" x14ac:dyDescent="0.3">
      <c r="I46" t="s">
        <v>20</v>
      </c>
      <c r="J46">
        <v>1600</v>
      </c>
    </row>
    <row r="47" spans="9:10" x14ac:dyDescent="0.3">
      <c r="I47" t="s">
        <v>14</v>
      </c>
      <c r="J47">
        <v>9500</v>
      </c>
    </row>
    <row r="48" spans="9:10" x14ac:dyDescent="0.3">
      <c r="I48" t="s">
        <v>20</v>
      </c>
      <c r="J48">
        <v>3700</v>
      </c>
    </row>
    <row r="49" spans="9:10" x14ac:dyDescent="0.3">
      <c r="I49" t="s">
        <v>20</v>
      </c>
      <c r="J49">
        <v>1500</v>
      </c>
    </row>
    <row r="50" spans="9:10" x14ac:dyDescent="0.3">
      <c r="I50" t="s">
        <v>20</v>
      </c>
      <c r="J50">
        <v>33300</v>
      </c>
    </row>
    <row r="51" spans="9:10" x14ac:dyDescent="0.3">
      <c r="I51" t="s">
        <v>20</v>
      </c>
      <c r="J51">
        <v>7200</v>
      </c>
    </row>
    <row r="52" spans="9:10" x14ac:dyDescent="0.3">
      <c r="I52" t="s">
        <v>14</v>
      </c>
      <c r="J52">
        <v>100</v>
      </c>
    </row>
    <row r="53" spans="9:10" x14ac:dyDescent="0.3">
      <c r="I53" t="s">
        <v>14</v>
      </c>
      <c r="J53">
        <v>158100</v>
      </c>
    </row>
    <row r="54" spans="9:10" x14ac:dyDescent="0.3">
      <c r="I54" t="s">
        <v>14</v>
      </c>
      <c r="J54">
        <v>7200</v>
      </c>
    </row>
    <row r="55" spans="9:10" x14ac:dyDescent="0.3">
      <c r="I55" t="s">
        <v>20</v>
      </c>
      <c r="J55">
        <v>8800</v>
      </c>
    </row>
    <row r="56" spans="9:10" x14ac:dyDescent="0.3">
      <c r="I56" t="s">
        <v>14</v>
      </c>
      <c r="J56">
        <v>6000</v>
      </c>
    </row>
    <row r="57" spans="9:10" x14ac:dyDescent="0.3">
      <c r="I57" t="s">
        <v>20</v>
      </c>
      <c r="J57">
        <v>6600</v>
      </c>
    </row>
    <row r="58" spans="9:10" x14ac:dyDescent="0.3">
      <c r="I58" t="s">
        <v>20</v>
      </c>
      <c r="J58">
        <v>8000</v>
      </c>
    </row>
    <row r="59" spans="9:10" x14ac:dyDescent="0.3">
      <c r="I59" t="s">
        <v>20</v>
      </c>
      <c r="J59">
        <v>2900</v>
      </c>
    </row>
    <row r="60" spans="9:10" x14ac:dyDescent="0.3">
      <c r="I60" t="s">
        <v>20</v>
      </c>
      <c r="J60">
        <v>2700</v>
      </c>
    </row>
    <row r="61" spans="9:10" x14ac:dyDescent="0.3">
      <c r="I61" t="s">
        <v>20</v>
      </c>
      <c r="J61">
        <v>1400</v>
      </c>
    </row>
    <row r="62" spans="9:10" x14ac:dyDescent="0.3">
      <c r="I62" t="s">
        <v>20</v>
      </c>
      <c r="J62">
        <v>94200</v>
      </c>
    </row>
    <row r="63" spans="9:10" x14ac:dyDescent="0.3">
      <c r="I63" t="s">
        <v>14</v>
      </c>
      <c r="J63">
        <v>199200</v>
      </c>
    </row>
    <row r="64" spans="9:10" x14ac:dyDescent="0.3">
      <c r="I64" t="s">
        <v>20</v>
      </c>
      <c r="J64">
        <v>2000</v>
      </c>
    </row>
    <row r="65" spans="9:10" x14ac:dyDescent="0.3">
      <c r="I65" t="s">
        <v>14</v>
      </c>
      <c r="J65">
        <v>4700</v>
      </c>
    </row>
    <row r="66" spans="9:10" x14ac:dyDescent="0.3">
      <c r="I66" t="s">
        <v>14</v>
      </c>
      <c r="J66">
        <v>2800</v>
      </c>
    </row>
    <row r="67" spans="9:10" x14ac:dyDescent="0.3">
      <c r="I67" t="s">
        <v>20</v>
      </c>
      <c r="J67">
        <v>6100</v>
      </c>
    </row>
    <row r="68" spans="9:10" x14ac:dyDescent="0.3">
      <c r="I68" t="s">
        <v>14</v>
      </c>
      <c r="J68">
        <v>2900</v>
      </c>
    </row>
    <row r="69" spans="9:10" x14ac:dyDescent="0.3">
      <c r="I69" t="s">
        <v>20</v>
      </c>
      <c r="J69">
        <v>72600</v>
      </c>
    </row>
    <row r="70" spans="9:10" x14ac:dyDescent="0.3">
      <c r="I70" t="s">
        <v>20</v>
      </c>
      <c r="J70">
        <v>5700</v>
      </c>
    </row>
    <row r="71" spans="9:10" x14ac:dyDescent="0.3">
      <c r="I71" t="s">
        <v>74</v>
      </c>
      <c r="J71">
        <v>7900</v>
      </c>
    </row>
    <row r="72" spans="9:10" x14ac:dyDescent="0.3">
      <c r="I72" t="s">
        <v>20</v>
      </c>
      <c r="J72">
        <v>128000</v>
      </c>
    </row>
    <row r="73" spans="9:10" x14ac:dyDescent="0.3">
      <c r="I73" t="s">
        <v>20</v>
      </c>
      <c r="J73">
        <v>6000</v>
      </c>
    </row>
    <row r="74" spans="9:10" x14ac:dyDescent="0.3">
      <c r="I74" t="s">
        <v>20</v>
      </c>
      <c r="J74">
        <v>600</v>
      </c>
    </row>
    <row r="75" spans="9:10" x14ac:dyDescent="0.3">
      <c r="I75" t="s">
        <v>20</v>
      </c>
      <c r="J75">
        <v>1400</v>
      </c>
    </row>
    <row r="76" spans="9:10" x14ac:dyDescent="0.3">
      <c r="I76" t="s">
        <v>20</v>
      </c>
      <c r="J76">
        <v>3900</v>
      </c>
    </row>
    <row r="77" spans="9:10" x14ac:dyDescent="0.3">
      <c r="I77" t="s">
        <v>20</v>
      </c>
      <c r="J77">
        <v>9700</v>
      </c>
    </row>
    <row r="78" spans="9:10" x14ac:dyDescent="0.3">
      <c r="I78" t="s">
        <v>14</v>
      </c>
      <c r="J78">
        <v>122900</v>
      </c>
    </row>
    <row r="79" spans="9:10" x14ac:dyDescent="0.3">
      <c r="I79" t="s">
        <v>14</v>
      </c>
      <c r="J79">
        <v>9500</v>
      </c>
    </row>
    <row r="80" spans="9:10" x14ac:dyDescent="0.3">
      <c r="I80" t="s">
        <v>20</v>
      </c>
      <c r="J80">
        <v>4500</v>
      </c>
    </row>
    <row r="81" spans="9:10" x14ac:dyDescent="0.3">
      <c r="I81" t="s">
        <v>14</v>
      </c>
      <c r="J81">
        <v>57800</v>
      </c>
    </row>
    <row r="82" spans="9:10" x14ac:dyDescent="0.3">
      <c r="I82" t="s">
        <v>20</v>
      </c>
      <c r="J82">
        <v>1100</v>
      </c>
    </row>
    <row r="83" spans="9:10" x14ac:dyDescent="0.3">
      <c r="I83" t="s">
        <v>20</v>
      </c>
      <c r="J83">
        <v>16800</v>
      </c>
    </row>
    <row r="84" spans="9:10" x14ac:dyDescent="0.3">
      <c r="I84" t="s">
        <v>20</v>
      </c>
      <c r="J84">
        <v>1000</v>
      </c>
    </row>
    <row r="85" spans="9:10" x14ac:dyDescent="0.3">
      <c r="I85" t="s">
        <v>14</v>
      </c>
      <c r="J85">
        <v>106400</v>
      </c>
    </row>
    <row r="86" spans="9:10" x14ac:dyDescent="0.3">
      <c r="I86" t="s">
        <v>20</v>
      </c>
      <c r="J86">
        <v>31400</v>
      </c>
    </row>
    <row r="87" spans="9:10" x14ac:dyDescent="0.3">
      <c r="I87" t="s">
        <v>20</v>
      </c>
      <c r="J87">
        <v>4900</v>
      </c>
    </row>
    <row r="88" spans="9:10" x14ac:dyDescent="0.3">
      <c r="I88" t="s">
        <v>20</v>
      </c>
      <c r="J88">
        <v>7400</v>
      </c>
    </row>
    <row r="89" spans="9:10" x14ac:dyDescent="0.3">
      <c r="I89" t="s">
        <v>14</v>
      </c>
      <c r="J89">
        <v>198500</v>
      </c>
    </row>
    <row r="90" spans="9:10" x14ac:dyDescent="0.3">
      <c r="I90" t="s">
        <v>20</v>
      </c>
      <c r="J90">
        <v>4800</v>
      </c>
    </row>
    <row r="91" spans="9:10" x14ac:dyDescent="0.3">
      <c r="I91" t="s">
        <v>20</v>
      </c>
      <c r="J91">
        <v>3400</v>
      </c>
    </row>
    <row r="92" spans="9:10" x14ac:dyDescent="0.3">
      <c r="I92" t="s">
        <v>14</v>
      </c>
      <c r="J92">
        <v>7800</v>
      </c>
    </row>
    <row r="93" spans="9:10" x14ac:dyDescent="0.3">
      <c r="I93" t="s">
        <v>14</v>
      </c>
      <c r="J93">
        <v>154300</v>
      </c>
    </row>
    <row r="94" spans="9:10" x14ac:dyDescent="0.3">
      <c r="I94" t="s">
        <v>20</v>
      </c>
      <c r="J94">
        <v>20000</v>
      </c>
    </row>
    <row r="95" spans="9:10" x14ac:dyDescent="0.3">
      <c r="I95" t="s">
        <v>74</v>
      </c>
      <c r="J95">
        <v>108800</v>
      </c>
    </row>
    <row r="96" spans="9:10" x14ac:dyDescent="0.3">
      <c r="I96" t="s">
        <v>20</v>
      </c>
      <c r="J96">
        <v>2900</v>
      </c>
    </row>
    <row r="97" spans="9:10" x14ac:dyDescent="0.3">
      <c r="I97" t="s">
        <v>20</v>
      </c>
      <c r="J97">
        <v>900</v>
      </c>
    </row>
    <row r="98" spans="9:10" x14ac:dyDescent="0.3">
      <c r="I98" t="s">
        <v>20</v>
      </c>
      <c r="J98">
        <v>69700</v>
      </c>
    </row>
    <row r="99" spans="9:10" x14ac:dyDescent="0.3">
      <c r="I99" t="s">
        <v>20</v>
      </c>
      <c r="J99">
        <v>1300</v>
      </c>
    </row>
    <row r="100" spans="9:10" x14ac:dyDescent="0.3">
      <c r="I100" t="s">
        <v>14</v>
      </c>
      <c r="J100">
        <v>97800</v>
      </c>
    </row>
    <row r="101" spans="9:10" x14ac:dyDescent="0.3">
      <c r="I101" t="s">
        <v>20</v>
      </c>
      <c r="J101">
        <v>7600</v>
      </c>
    </row>
    <row r="102" spans="9:10" x14ac:dyDescent="0.3">
      <c r="I102" t="s">
        <v>14</v>
      </c>
      <c r="J102">
        <v>100</v>
      </c>
    </row>
    <row r="103" spans="9:10" x14ac:dyDescent="0.3">
      <c r="I103" t="s">
        <v>20</v>
      </c>
      <c r="J103">
        <v>900</v>
      </c>
    </row>
    <row r="104" spans="9:10" x14ac:dyDescent="0.3">
      <c r="I104" t="s">
        <v>20</v>
      </c>
      <c r="J104">
        <v>3700</v>
      </c>
    </row>
    <row r="105" spans="9:10" x14ac:dyDescent="0.3">
      <c r="I105" t="s">
        <v>14</v>
      </c>
      <c r="J105">
        <v>10000</v>
      </c>
    </row>
    <row r="106" spans="9:10" x14ac:dyDescent="0.3">
      <c r="I106" t="s">
        <v>20</v>
      </c>
      <c r="J106">
        <v>119200</v>
      </c>
    </row>
    <row r="107" spans="9:10" x14ac:dyDescent="0.3">
      <c r="I107" t="s">
        <v>20</v>
      </c>
      <c r="J107">
        <v>6800</v>
      </c>
    </row>
    <row r="108" spans="9:10" x14ac:dyDescent="0.3">
      <c r="I108" t="s">
        <v>20</v>
      </c>
      <c r="J108">
        <v>3900</v>
      </c>
    </row>
    <row r="109" spans="9:10" x14ac:dyDescent="0.3">
      <c r="I109" t="s">
        <v>20</v>
      </c>
      <c r="J109">
        <v>3500</v>
      </c>
    </row>
    <row r="110" spans="9:10" x14ac:dyDescent="0.3">
      <c r="I110" t="s">
        <v>20</v>
      </c>
      <c r="J110">
        <v>1500</v>
      </c>
    </row>
    <row r="111" spans="9:10" x14ac:dyDescent="0.3">
      <c r="I111" t="s">
        <v>14</v>
      </c>
      <c r="J111">
        <v>5200</v>
      </c>
    </row>
    <row r="112" spans="9:10" x14ac:dyDescent="0.3">
      <c r="I112" t="s">
        <v>14</v>
      </c>
      <c r="J112">
        <v>142400</v>
      </c>
    </row>
    <row r="113" spans="9:10" x14ac:dyDescent="0.3">
      <c r="I113" t="s">
        <v>20</v>
      </c>
      <c r="J113">
        <v>61400</v>
      </c>
    </row>
    <row r="114" spans="9:10" x14ac:dyDescent="0.3">
      <c r="I114" t="s">
        <v>20</v>
      </c>
      <c r="J114">
        <v>4700</v>
      </c>
    </row>
    <row r="115" spans="9:10" x14ac:dyDescent="0.3">
      <c r="I115" t="s">
        <v>20</v>
      </c>
      <c r="J115">
        <v>3300</v>
      </c>
    </row>
    <row r="116" spans="9:10" x14ac:dyDescent="0.3">
      <c r="I116" t="s">
        <v>20</v>
      </c>
      <c r="J116">
        <v>1900</v>
      </c>
    </row>
    <row r="117" spans="9:10" x14ac:dyDescent="0.3">
      <c r="I117" t="s">
        <v>14</v>
      </c>
      <c r="J117">
        <v>166700</v>
      </c>
    </row>
    <row r="118" spans="9:10" x14ac:dyDescent="0.3">
      <c r="I118" t="s">
        <v>14</v>
      </c>
      <c r="J118">
        <v>7200</v>
      </c>
    </row>
    <row r="119" spans="9:10" x14ac:dyDescent="0.3">
      <c r="I119" t="s">
        <v>20</v>
      </c>
      <c r="J119">
        <v>4900</v>
      </c>
    </row>
    <row r="120" spans="9:10" x14ac:dyDescent="0.3">
      <c r="I120" t="s">
        <v>20</v>
      </c>
      <c r="J120">
        <v>5400</v>
      </c>
    </row>
    <row r="121" spans="9:10" x14ac:dyDescent="0.3">
      <c r="I121" t="s">
        <v>20</v>
      </c>
      <c r="J121">
        <v>5000</v>
      </c>
    </row>
    <row r="122" spans="9:10" x14ac:dyDescent="0.3">
      <c r="I122" t="s">
        <v>20</v>
      </c>
      <c r="J122">
        <v>75100</v>
      </c>
    </row>
    <row r="123" spans="9:10" x14ac:dyDescent="0.3">
      <c r="I123" t="s">
        <v>20</v>
      </c>
      <c r="J123">
        <v>45300</v>
      </c>
    </row>
    <row r="124" spans="9:10" x14ac:dyDescent="0.3">
      <c r="I124" t="s">
        <v>14</v>
      </c>
      <c r="J124">
        <v>136800</v>
      </c>
    </row>
    <row r="125" spans="9:10" x14ac:dyDescent="0.3">
      <c r="I125" t="s">
        <v>14</v>
      </c>
      <c r="J125">
        <v>177700</v>
      </c>
    </row>
    <row r="126" spans="9:10" x14ac:dyDescent="0.3">
      <c r="I126" t="s">
        <v>20</v>
      </c>
      <c r="J126">
        <v>2600</v>
      </c>
    </row>
    <row r="127" spans="9:10" x14ac:dyDescent="0.3">
      <c r="I127" t="s">
        <v>20</v>
      </c>
      <c r="J127">
        <v>5300</v>
      </c>
    </row>
    <row r="128" spans="9:10" x14ac:dyDescent="0.3">
      <c r="I128" t="s">
        <v>14</v>
      </c>
      <c r="J128">
        <v>180200</v>
      </c>
    </row>
    <row r="129" spans="9:10" x14ac:dyDescent="0.3">
      <c r="I129" t="s">
        <v>14</v>
      </c>
      <c r="J129">
        <v>103200</v>
      </c>
    </row>
    <row r="130" spans="9:10" x14ac:dyDescent="0.3">
      <c r="I130" t="s">
        <v>74</v>
      </c>
      <c r="J130">
        <v>70600</v>
      </c>
    </row>
    <row r="131" spans="9:10" x14ac:dyDescent="0.3">
      <c r="I131" t="s">
        <v>74</v>
      </c>
      <c r="J131">
        <v>148500</v>
      </c>
    </row>
    <row r="132" spans="9:10" x14ac:dyDescent="0.3">
      <c r="I132" t="s">
        <v>20</v>
      </c>
      <c r="J132">
        <v>9600</v>
      </c>
    </row>
    <row r="133" spans="9:10" x14ac:dyDescent="0.3">
      <c r="I133" t="s">
        <v>20</v>
      </c>
      <c r="J133">
        <v>164700</v>
      </c>
    </row>
    <row r="134" spans="9:10" x14ac:dyDescent="0.3">
      <c r="I134" t="s">
        <v>20</v>
      </c>
      <c r="J134">
        <v>3300</v>
      </c>
    </row>
    <row r="135" spans="9:10" x14ac:dyDescent="0.3">
      <c r="I135" t="s">
        <v>20</v>
      </c>
      <c r="J135">
        <v>4500</v>
      </c>
    </row>
    <row r="136" spans="9:10" x14ac:dyDescent="0.3">
      <c r="I136" t="s">
        <v>14</v>
      </c>
      <c r="J136">
        <v>99500</v>
      </c>
    </row>
    <row r="137" spans="9:10" x14ac:dyDescent="0.3">
      <c r="I137" t="s">
        <v>14</v>
      </c>
      <c r="J137">
        <v>7700</v>
      </c>
    </row>
    <row r="138" spans="9:10" x14ac:dyDescent="0.3">
      <c r="I138" t="s">
        <v>74</v>
      </c>
      <c r="J138">
        <v>82800</v>
      </c>
    </row>
    <row r="139" spans="9:10" x14ac:dyDescent="0.3">
      <c r="I139" t="s">
        <v>20</v>
      </c>
      <c r="J139">
        <v>1800</v>
      </c>
    </row>
    <row r="140" spans="9:10" x14ac:dyDescent="0.3">
      <c r="I140" t="s">
        <v>14</v>
      </c>
      <c r="J140">
        <v>9600</v>
      </c>
    </row>
    <row r="141" spans="9:10" x14ac:dyDescent="0.3">
      <c r="I141" t="s">
        <v>14</v>
      </c>
      <c r="J141">
        <v>92100</v>
      </c>
    </row>
    <row r="142" spans="9:10" x14ac:dyDescent="0.3">
      <c r="I142" t="s">
        <v>20</v>
      </c>
      <c r="J142">
        <v>5500</v>
      </c>
    </row>
    <row r="143" spans="9:10" x14ac:dyDescent="0.3">
      <c r="I143" t="s">
        <v>20</v>
      </c>
      <c r="J143">
        <v>64300</v>
      </c>
    </row>
    <row r="144" spans="9:10" x14ac:dyDescent="0.3">
      <c r="I144" t="s">
        <v>20</v>
      </c>
      <c r="J144">
        <v>5000</v>
      </c>
    </row>
    <row r="145" spans="9:10" x14ac:dyDescent="0.3">
      <c r="I145" t="s">
        <v>20</v>
      </c>
      <c r="J145">
        <v>5400</v>
      </c>
    </row>
    <row r="146" spans="9:10" x14ac:dyDescent="0.3">
      <c r="I146" t="s">
        <v>20</v>
      </c>
      <c r="J146">
        <v>9000</v>
      </c>
    </row>
    <row r="147" spans="9:10" x14ac:dyDescent="0.3">
      <c r="I147" t="s">
        <v>20</v>
      </c>
      <c r="J147">
        <v>25000</v>
      </c>
    </row>
    <row r="148" spans="9:10" x14ac:dyDescent="0.3">
      <c r="I148" t="s">
        <v>74</v>
      </c>
      <c r="J148">
        <v>8800</v>
      </c>
    </row>
    <row r="149" spans="9:10" x14ac:dyDescent="0.3">
      <c r="I149" t="s">
        <v>20</v>
      </c>
      <c r="J149">
        <v>8300</v>
      </c>
    </row>
    <row r="150" spans="9:10" x14ac:dyDescent="0.3">
      <c r="I150" t="s">
        <v>20</v>
      </c>
      <c r="J150">
        <v>9300</v>
      </c>
    </row>
    <row r="151" spans="9:10" x14ac:dyDescent="0.3">
      <c r="I151" t="s">
        <v>20</v>
      </c>
      <c r="J151">
        <v>6200</v>
      </c>
    </row>
    <row r="152" spans="9:10" x14ac:dyDescent="0.3">
      <c r="I152" t="s">
        <v>14</v>
      </c>
      <c r="J152">
        <v>100</v>
      </c>
    </row>
    <row r="153" spans="9:10" x14ac:dyDescent="0.3">
      <c r="I153" t="s">
        <v>14</v>
      </c>
      <c r="J153">
        <v>137200</v>
      </c>
    </row>
    <row r="154" spans="9:10" x14ac:dyDescent="0.3">
      <c r="I154" t="s">
        <v>20</v>
      </c>
      <c r="J154">
        <v>41500</v>
      </c>
    </row>
    <row r="155" spans="9:10" x14ac:dyDescent="0.3">
      <c r="I155" t="s">
        <v>14</v>
      </c>
      <c r="J155">
        <v>189400</v>
      </c>
    </row>
    <row r="156" spans="9:10" x14ac:dyDescent="0.3">
      <c r="I156" t="s">
        <v>14</v>
      </c>
      <c r="J156">
        <v>171300</v>
      </c>
    </row>
    <row r="157" spans="9:10" x14ac:dyDescent="0.3">
      <c r="I157" t="s">
        <v>14</v>
      </c>
      <c r="J157">
        <v>139500</v>
      </c>
    </row>
    <row r="158" spans="9:10" x14ac:dyDescent="0.3">
      <c r="I158" t="s">
        <v>74</v>
      </c>
      <c r="J158">
        <v>36400</v>
      </c>
    </row>
    <row r="159" spans="9:10" x14ac:dyDescent="0.3">
      <c r="I159" t="s">
        <v>14</v>
      </c>
      <c r="J159">
        <v>4200</v>
      </c>
    </row>
    <row r="160" spans="9:10" x14ac:dyDescent="0.3">
      <c r="I160" t="s">
        <v>20</v>
      </c>
      <c r="J160">
        <v>2100</v>
      </c>
    </row>
    <row r="161" spans="9:10" x14ac:dyDescent="0.3">
      <c r="I161" t="s">
        <v>20</v>
      </c>
      <c r="J161">
        <v>191200</v>
      </c>
    </row>
    <row r="162" spans="9:10" x14ac:dyDescent="0.3">
      <c r="I162" t="s">
        <v>20</v>
      </c>
      <c r="J162">
        <v>8000</v>
      </c>
    </row>
    <row r="163" spans="9:10" x14ac:dyDescent="0.3">
      <c r="I163" t="s">
        <v>14</v>
      </c>
      <c r="J163">
        <v>5500</v>
      </c>
    </row>
    <row r="164" spans="9:10" x14ac:dyDescent="0.3">
      <c r="I164" t="s">
        <v>20</v>
      </c>
      <c r="J164">
        <v>6100</v>
      </c>
    </row>
    <row r="165" spans="9:10" x14ac:dyDescent="0.3">
      <c r="I165" t="s">
        <v>20</v>
      </c>
      <c r="J165">
        <v>3500</v>
      </c>
    </row>
    <row r="166" spans="9:10" x14ac:dyDescent="0.3">
      <c r="I166" t="s">
        <v>20</v>
      </c>
      <c r="J166">
        <v>150500</v>
      </c>
    </row>
    <row r="167" spans="9:10" x14ac:dyDescent="0.3">
      <c r="I167" t="s">
        <v>20</v>
      </c>
      <c r="J167">
        <v>90400</v>
      </c>
    </row>
    <row r="168" spans="9:10" x14ac:dyDescent="0.3">
      <c r="I168" t="s">
        <v>20</v>
      </c>
      <c r="J168">
        <v>9800</v>
      </c>
    </row>
    <row r="169" spans="9:10" x14ac:dyDescent="0.3">
      <c r="I169" t="s">
        <v>20</v>
      </c>
      <c r="J169">
        <v>2600</v>
      </c>
    </row>
    <row r="170" spans="9:10" x14ac:dyDescent="0.3">
      <c r="I170" t="s">
        <v>14</v>
      </c>
      <c r="J170">
        <v>128100</v>
      </c>
    </row>
    <row r="171" spans="9:10" x14ac:dyDescent="0.3">
      <c r="I171" t="s">
        <v>20</v>
      </c>
      <c r="J171">
        <v>23300</v>
      </c>
    </row>
    <row r="172" spans="9:10" x14ac:dyDescent="0.3">
      <c r="I172" t="s">
        <v>14</v>
      </c>
      <c r="J172">
        <v>188100</v>
      </c>
    </row>
    <row r="173" spans="9:10" x14ac:dyDescent="0.3">
      <c r="I173" t="s">
        <v>14</v>
      </c>
      <c r="J173">
        <v>4900</v>
      </c>
    </row>
    <row r="174" spans="9:10" x14ac:dyDescent="0.3">
      <c r="I174" t="s">
        <v>14</v>
      </c>
      <c r="J174">
        <v>800</v>
      </c>
    </row>
    <row r="175" spans="9:10" x14ac:dyDescent="0.3">
      <c r="I175" t="s">
        <v>20</v>
      </c>
      <c r="J175">
        <v>96700</v>
      </c>
    </row>
    <row r="176" spans="9:10" x14ac:dyDescent="0.3">
      <c r="I176" t="s">
        <v>20</v>
      </c>
      <c r="J176">
        <v>600</v>
      </c>
    </row>
    <row r="177" spans="9:10" x14ac:dyDescent="0.3">
      <c r="I177" t="s">
        <v>14</v>
      </c>
      <c r="J177">
        <v>181200</v>
      </c>
    </row>
    <row r="178" spans="9:10" x14ac:dyDescent="0.3">
      <c r="I178" t="s">
        <v>14</v>
      </c>
      <c r="J178">
        <v>115000</v>
      </c>
    </row>
    <row r="179" spans="9:10" x14ac:dyDescent="0.3">
      <c r="I179" t="s">
        <v>20</v>
      </c>
      <c r="J179">
        <v>38800</v>
      </c>
    </row>
    <row r="180" spans="9:10" x14ac:dyDescent="0.3">
      <c r="I180" t="s">
        <v>14</v>
      </c>
      <c r="J180">
        <v>7200</v>
      </c>
    </row>
    <row r="181" spans="9:10" x14ac:dyDescent="0.3">
      <c r="I181" t="s">
        <v>20</v>
      </c>
      <c r="J181">
        <v>44500</v>
      </c>
    </row>
    <row r="182" spans="9:10" x14ac:dyDescent="0.3">
      <c r="I182" t="s">
        <v>20</v>
      </c>
      <c r="J182">
        <v>56000</v>
      </c>
    </row>
    <row r="183" spans="9:10" x14ac:dyDescent="0.3">
      <c r="I183" t="s">
        <v>14</v>
      </c>
      <c r="J183">
        <v>8600</v>
      </c>
    </row>
    <row r="184" spans="9:10" x14ac:dyDescent="0.3">
      <c r="I184" t="s">
        <v>20</v>
      </c>
      <c r="J184">
        <v>27100</v>
      </c>
    </row>
    <row r="185" spans="9:10" x14ac:dyDescent="0.3">
      <c r="I185" t="s">
        <v>14</v>
      </c>
      <c r="J185">
        <v>5100</v>
      </c>
    </row>
    <row r="186" spans="9:10" x14ac:dyDescent="0.3">
      <c r="I186" t="s">
        <v>20</v>
      </c>
      <c r="J186">
        <v>3600</v>
      </c>
    </row>
    <row r="187" spans="9:10" x14ac:dyDescent="0.3">
      <c r="I187" t="s">
        <v>14</v>
      </c>
      <c r="J187">
        <v>1000</v>
      </c>
    </row>
    <row r="188" spans="9:10" x14ac:dyDescent="0.3">
      <c r="I188" t="s">
        <v>14</v>
      </c>
      <c r="J188">
        <v>88800</v>
      </c>
    </row>
    <row r="189" spans="9:10" x14ac:dyDescent="0.3">
      <c r="I189" t="s">
        <v>20</v>
      </c>
      <c r="J189">
        <v>60200</v>
      </c>
    </row>
    <row r="190" spans="9:10" x14ac:dyDescent="0.3">
      <c r="I190" t="s">
        <v>14</v>
      </c>
      <c r="J190">
        <v>8200</v>
      </c>
    </row>
    <row r="191" spans="9:10" x14ac:dyDescent="0.3">
      <c r="I191" t="s">
        <v>74</v>
      </c>
      <c r="J191">
        <v>191300</v>
      </c>
    </row>
    <row r="192" spans="9:10" x14ac:dyDescent="0.3">
      <c r="I192" t="s">
        <v>14</v>
      </c>
      <c r="J192">
        <v>3700</v>
      </c>
    </row>
    <row r="193" spans="9:10" x14ac:dyDescent="0.3">
      <c r="I193" t="s">
        <v>14</v>
      </c>
      <c r="J193">
        <v>8400</v>
      </c>
    </row>
    <row r="194" spans="9:10" x14ac:dyDescent="0.3">
      <c r="I194" t="s">
        <v>14</v>
      </c>
      <c r="J194">
        <v>42600</v>
      </c>
    </row>
    <row r="195" spans="9:10" x14ac:dyDescent="0.3">
      <c r="I195" t="s">
        <v>14</v>
      </c>
      <c r="J195">
        <v>6600</v>
      </c>
    </row>
    <row r="196" spans="9:10" x14ac:dyDescent="0.3">
      <c r="I196" t="s">
        <v>20</v>
      </c>
      <c r="J196">
        <v>7100</v>
      </c>
    </row>
    <row r="197" spans="9:10" x14ac:dyDescent="0.3">
      <c r="I197" t="s">
        <v>20</v>
      </c>
      <c r="J197">
        <v>15800</v>
      </c>
    </row>
    <row r="198" spans="9:10" x14ac:dyDescent="0.3">
      <c r="I198" t="s">
        <v>14</v>
      </c>
      <c r="J198">
        <v>8200</v>
      </c>
    </row>
    <row r="199" spans="9:10" x14ac:dyDescent="0.3">
      <c r="I199" t="s">
        <v>20</v>
      </c>
      <c r="J199">
        <v>54700</v>
      </c>
    </row>
    <row r="200" spans="9:10" x14ac:dyDescent="0.3">
      <c r="I200" t="s">
        <v>14</v>
      </c>
      <c r="J200">
        <v>63200</v>
      </c>
    </row>
    <row r="201" spans="9:10" x14ac:dyDescent="0.3">
      <c r="I201" t="s">
        <v>14</v>
      </c>
      <c r="J201">
        <v>1800</v>
      </c>
    </row>
    <row r="202" spans="9:10" x14ac:dyDescent="0.3">
      <c r="I202" t="s">
        <v>14</v>
      </c>
      <c r="J202">
        <v>100</v>
      </c>
    </row>
    <row r="203" spans="9:10" x14ac:dyDescent="0.3">
      <c r="I203" t="s">
        <v>20</v>
      </c>
      <c r="J203">
        <v>2100</v>
      </c>
    </row>
    <row r="204" spans="9:10" x14ac:dyDescent="0.3">
      <c r="I204" t="s">
        <v>74</v>
      </c>
      <c r="J204">
        <v>8300</v>
      </c>
    </row>
    <row r="205" spans="9:10" x14ac:dyDescent="0.3">
      <c r="I205" t="s">
        <v>20</v>
      </c>
      <c r="J205">
        <v>143900</v>
      </c>
    </row>
    <row r="206" spans="9:10" x14ac:dyDescent="0.3">
      <c r="I206" t="s">
        <v>14</v>
      </c>
      <c r="J206">
        <v>75000</v>
      </c>
    </row>
    <row r="207" spans="9:10" x14ac:dyDescent="0.3">
      <c r="I207" t="s">
        <v>20</v>
      </c>
      <c r="J207">
        <v>1300</v>
      </c>
    </row>
    <row r="208" spans="9:10" x14ac:dyDescent="0.3">
      <c r="I208" t="s">
        <v>74</v>
      </c>
      <c r="J208">
        <v>9000</v>
      </c>
    </row>
    <row r="209" spans="9:10" x14ac:dyDescent="0.3">
      <c r="I209" t="s">
        <v>20</v>
      </c>
      <c r="J209">
        <v>1000</v>
      </c>
    </row>
    <row r="210" spans="9:10" x14ac:dyDescent="0.3">
      <c r="I210" t="s">
        <v>20</v>
      </c>
      <c r="J210">
        <v>196900</v>
      </c>
    </row>
    <row r="211" spans="9:10" x14ac:dyDescent="0.3">
      <c r="I211" t="s">
        <v>47</v>
      </c>
      <c r="J211">
        <v>194500</v>
      </c>
    </row>
    <row r="212" spans="9:10" x14ac:dyDescent="0.3">
      <c r="I212" t="s">
        <v>14</v>
      </c>
      <c r="J212">
        <v>9400</v>
      </c>
    </row>
    <row r="213" spans="9:10" x14ac:dyDescent="0.3">
      <c r="I213" t="s">
        <v>14</v>
      </c>
      <c r="J213">
        <v>104400</v>
      </c>
    </row>
    <row r="214" spans="9:10" x14ac:dyDescent="0.3">
      <c r="I214" t="s">
        <v>20</v>
      </c>
      <c r="J214">
        <v>8100</v>
      </c>
    </row>
    <row r="215" spans="9:10" x14ac:dyDescent="0.3">
      <c r="I215" t="s">
        <v>20</v>
      </c>
      <c r="J215">
        <v>87900</v>
      </c>
    </row>
    <row r="216" spans="9:10" x14ac:dyDescent="0.3">
      <c r="I216" t="s">
        <v>20</v>
      </c>
      <c r="J216">
        <v>1400</v>
      </c>
    </row>
    <row r="217" spans="9:10" x14ac:dyDescent="0.3">
      <c r="I217" t="s">
        <v>14</v>
      </c>
      <c r="J217">
        <v>156800</v>
      </c>
    </row>
    <row r="218" spans="9:10" x14ac:dyDescent="0.3">
      <c r="I218" t="s">
        <v>20</v>
      </c>
      <c r="J218">
        <v>121700</v>
      </c>
    </row>
    <row r="219" spans="9:10" x14ac:dyDescent="0.3">
      <c r="I219" t="s">
        <v>14</v>
      </c>
      <c r="J219">
        <v>129400</v>
      </c>
    </row>
    <row r="220" spans="9:10" x14ac:dyDescent="0.3">
      <c r="I220" t="s">
        <v>20</v>
      </c>
      <c r="J220">
        <v>5700</v>
      </c>
    </row>
    <row r="221" spans="9:10" x14ac:dyDescent="0.3">
      <c r="I221" t="s">
        <v>20</v>
      </c>
      <c r="J221">
        <v>41700</v>
      </c>
    </row>
    <row r="222" spans="9:10" x14ac:dyDescent="0.3">
      <c r="I222" t="s">
        <v>14</v>
      </c>
      <c r="J222">
        <v>7900</v>
      </c>
    </row>
    <row r="223" spans="9:10" x14ac:dyDescent="0.3">
      <c r="I223" t="s">
        <v>14</v>
      </c>
      <c r="J223">
        <v>121500</v>
      </c>
    </row>
    <row r="224" spans="9:10" x14ac:dyDescent="0.3">
      <c r="I224" t="s">
        <v>20</v>
      </c>
      <c r="J224">
        <v>4800</v>
      </c>
    </row>
    <row r="225" spans="9:10" x14ac:dyDescent="0.3">
      <c r="I225" t="s">
        <v>14</v>
      </c>
      <c r="J225">
        <v>87300</v>
      </c>
    </row>
    <row r="226" spans="9:10" x14ac:dyDescent="0.3">
      <c r="I226" t="s">
        <v>20</v>
      </c>
      <c r="J226">
        <v>46300</v>
      </c>
    </row>
    <row r="227" spans="9:10" x14ac:dyDescent="0.3">
      <c r="I227" t="s">
        <v>20</v>
      </c>
      <c r="J227">
        <v>67800</v>
      </c>
    </row>
    <row r="228" spans="9:10" x14ac:dyDescent="0.3">
      <c r="I228" t="s">
        <v>20</v>
      </c>
      <c r="J228">
        <v>3000</v>
      </c>
    </row>
    <row r="229" spans="9:10" x14ac:dyDescent="0.3">
      <c r="I229" t="s">
        <v>20</v>
      </c>
      <c r="J229">
        <v>60900</v>
      </c>
    </row>
    <row r="230" spans="9:10" x14ac:dyDescent="0.3">
      <c r="I230" t="s">
        <v>20</v>
      </c>
      <c r="J230">
        <v>137900</v>
      </c>
    </row>
    <row r="231" spans="9:10" x14ac:dyDescent="0.3">
      <c r="I231" t="s">
        <v>20</v>
      </c>
      <c r="J231">
        <v>85600</v>
      </c>
    </row>
    <row r="232" spans="9:10" x14ac:dyDescent="0.3">
      <c r="I232" t="s">
        <v>20</v>
      </c>
      <c r="J232">
        <v>2400</v>
      </c>
    </row>
    <row r="233" spans="9:10" x14ac:dyDescent="0.3">
      <c r="I233" t="s">
        <v>74</v>
      </c>
      <c r="J233">
        <v>7200</v>
      </c>
    </row>
    <row r="234" spans="9:10" x14ac:dyDescent="0.3">
      <c r="I234" t="s">
        <v>20</v>
      </c>
      <c r="J234">
        <v>3400</v>
      </c>
    </row>
    <row r="235" spans="9:10" x14ac:dyDescent="0.3">
      <c r="I235" t="s">
        <v>20</v>
      </c>
      <c r="J235">
        <v>3800</v>
      </c>
    </row>
    <row r="236" spans="9:10" x14ac:dyDescent="0.3">
      <c r="I236" t="s">
        <v>20</v>
      </c>
      <c r="J236">
        <v>7500</v>
      </c>
    </row>
    <row r="237" spans="9:10" x14ac:dyDescent="0.3">
      <c r="I237" t="s">
        <v>14</v>
      </c>
      <c r="J237">
        <v>8600</v>
      </c>
    </row>
    <row r="238" spans="9:10" x14ac:dyDescent="0.3">
      <c r="I238" t="s">
        <v>14</v>
      </c>
      <c r="J238">
        <v>39500</v>
      </c>
    </row>
    <row r="239" spans="9:10" x14ac:dyDescent="0.3">
      <c r="I239" t="s">
        <v>20</v>
      </c>
      <c r="J239">
        <v>9300</v>
      </c>
    </row>
    <row r="240" spans="9:10" x14ac:dyDescent="0.3">
      <c r="I240" t="s">
        <v>20</v>
      </c>
      <c r="J240">
        <v>2400</v>
      </c>
    </row>
    <row r="241" spans="9:10" x14ac:dyDescent="0.3">
      <c r="I241" t="s">
        <v>14</v>
      </c>
      <c r="J241">
        <v>3200</v>
      </c>
    </row>
    <row r="242" spans="9:10" x14ac:dyDescent="0.3">
      <c r="I242" t="s">
        <v>20</v>
      </c>
      <c r="J242">
        <v>29400</v>
      </c>
    </row>
    <row r="243" spans="9:10" x14ac:dyDescent="0.3">
      <c r="I243" t="s">
        <v>20</v>
      </c>
      <c r="J243">
        <v>168500</v>
      </c>
    </row>
    <row r="244" spans="9:10" x14ac:dyDescent="0.3">
      <c r="I244" t="s">
        <v>20</v>
      </c>
      <c r="J244">
        <v>8400</v>
      </c>
    </row>
    <row r="245" spans="9:10" x14ac:dyDescent="0.3">
      <c r="I245" t="s">
        <v>20</v>
      </c>
      <c r="J245">
        <v>2300</v>
      </c>
    </row>
    <row r="246" spans="9:10" x14ac:dyDescent="0.3">
      <c r="I246" t="s">
        <v>20</v>
      </c>
      <c r="J246">
        <v>700</v>
      </c>
    </row>
    <row r="247" spans="9:10" x14ac:dyDescent="0.3">
      <c r="I247" t="s">
        <v>20</v>
      </c>
      <c r="J247">
        <v>2900</v>
      </c>
    </row>
    <row r="248" spans="9:10" x14ac:dyDescent="0.3">
      <c r="I248" t="s">
        <v>20</v>
      </c>
      <c r="J248">
        <v>4500</v>
      </c>
    </row>
    <row r="249" spans="9:10" x14ac:dyDescent="0.3">
      <c r="I249" t="s">
        <v>20</v>
      </c>
      <c r="J249">
        <v>19800</v>
      </c>
    </row>
    <row r="250" spans="9:10" x14ac:dyDescent="0.3">
      <c r="I250" t="s">
        <v>20</v>
      </c>
      <c r="J250">
        <v>6200</v>
      </c>
    </row>
    <row r="251" spans="9:10" x14ac:dyDescent="0.3">
      <c r="I251" t="s">
        <v>20</v>
      </c>
      <c r="J251">
        <v>61500</v>
      </c>
    </row>
    <row r="252" spans="9:10" x14ac:dyDescent="0.3">
      <c r="I252" t="s">
        <v>14</v>
      </c>
      <c r="J252">
        <v>100</v>
      </c>
    </row>
    <row r="253" spans="9:10" x14ac:dyDescent="0.3">
      <c r="I253" t="s">
        <v>14</v>
      </c>
      <c r="J253">
        <v>7100</v>
      </c>
    </row>
    <row r="254" spans="9:10" x14ac:dyDescent="0.3">
      <c r="I254" t="s">
        <v>20</v>
      </c>
      <c r="J254">
        <v>1000</v>
      </c>
    </row>
    <row r="255" spans="9:10" x14ac:dyDescent="0.3">
      <c r="I255" t="s">
        <v>14</v>
      </c>
      <c r="J255">
        <v>121500</v>
      </c>
    </row>
    <row r="256" spans="9:10" x14ac:dyDescent="0.3">
      <c r="I256" t="s">
        <v>20</v>
      </c>
      <c r="J256">
        <v>4600</v>
      </c>
    </row>
    <row r="257" spans="9:10" x14ac:dyDescent="0.3">
      <c r="I257" t="s">
        <v>20</v>
      </c>
      <c r="J257">
        <v>80500</v>
      </c>
    </row>
    <row r="258" spans="9:10" x14ac:dyDescent="0.3">
      <c r="I258" t="s">
        <v>14</v>
      </c>
      <c r="J258">
        <v>4100</v>
      </c>
    </row>
    <row r="259" spans="9:10" x14ac:dyDescent="0.3">
      <c r="I259" t="s">
        <v>20</v>
      </c>
      <c r="J259">
        <v>5700</v>
      </c>
    </row>
    <row r="260" spans="9:10" x14ac:dyDescent="0.3">
      <c r="I260" t="s">
        <v>20</v>
      </c>
      <c r="J260">
        <v>5000</v>
      </c>
    </row>
    <row r="261" spans="9:10" x14ac:dyDescent="0.3">
      <c r="I261" t="s">
        <v>20</v>
      </c>
      <c r="J261">
        <v>1800</v>
      </c>
    </row>
    <row r="262" spans="9:10" x14ac:dyDescent="0.3">
      <c r="I262" t="s">
        <v>20</v>
      </c>
      <c r="J262">
        <v>6300</v>
      </c>
    </row>
    <row r="263" spans="9:10" x14ac:dyDescent="0.3">
      <c r="I263" t="s">
        <v>14</v>
      </c>
      <c r="J263">
        <v>84300</v>
      </c>
    </row>
    <row r="264" spans="9:10" x14ac:dyDescent="0.3">
      <c r="I264" t="s">
        <v>20</v>
      </c>
      <c r="J264">
        <v>1700</v>
      </c>
    </row>
    <row r="265" spans="9:10" x14ac:dyDescent="0.3">
      <c r="I265" t="s">
        <v>20</v>
      </c>
      <c r="J265">
        <v>2900</v>
      </c>
    </row>
    <row r="266" spans="9:10" x14ac:dyDescent="0.3">
      <c r="I266" t="s">
        <v>20</v>
      </c>
      <c r="J266">
        <v>45600</v>
      </c>
    </row>
    <row r="267" spans="9:10" x14ac:dyDescent="0.3">
      <c r="I267" t="s">
        <v>20</v>
      </c>
      <c r="J267">
        <v>4900</v>
      </c>
    </row>
    <row r="268" spans="9:10" x14ac:dyDescent="0.3">
      <c r="I268" t="s">
        <v>14</v>
      </c>
      <c r="J268">
        <v>111900</v>
      </c>
    </row>
    <row r="269" spans="9:10" x14ac:dyDescent="0.3">
      <c r="I269" t="s">
        <v>20</v>
      </c>
      <c r="J269">
        <v>61600</v>
      </c>
    </row>
    <row r="270" spans="9:10" x14ac:dyDescent="0.3">
      <c r="I270" t="s">
        <v>20</v>
      </c>
      <c r="J270">
        <v>1500</v>
      </c>
    </row>
    <row r="271" spans="9:10" x14ac:dyDescent="0.3">
      <c r="I271" t="s">
        <v>20</v>
      </c>
      <c r="J271">
        <v>3500</v>
      </c>
    </row>
    <row r="272" spans="9:10" x14ac:dyDescent="0.3">
      <c r="I272" t="s">
        <v>74</v>
      </c>
      <c r="J272">
        <v>173900</v>
      </c>
    </row>
    <row r="273" spans="9:10" x14ac:dyDescent="0.3">
      <c r="I273" t="s">
        <v>47</v>
      </c>
      <c r="J273">
        <v>153700</v>
      </c>
    </row>
    <row r="274" spans="9:10" x14ac:dyDescent="0.3">
      <c r="I274" t="s">
        <v>20</v>
      </c>
      <c r="J274">
        <v>51100</v>
      </c>
    </row>
    <row r="275" spans="9:10" x14ac:dyDescent="0.3">
      <c r="I275" t="s">
        <v>20</v>
      </c>
      <c r="J275">
        <v>7800</v>
      </c>
    </row>
    <row r="276" spans="9:10" x14ac:dyDescent="0.3">
      <c r="I276" t="s">
        <v>14</v>
      </c>
      <c r="J276">
        <v>2400</v>
      </c>
    </row>
    <row r="277" spans="9:10" x14ac:dyDescent="0.3">
      <c r="I277" t="s">
        <v>20</v>
      </c>
      <c r="J277">
        <v>3900</v>
      </c>
    </row>
    <row r="278" spans="9:10" x14ac:dyDescent="0.3">
      <c r="I278" t="s">
        <v>14</v>
      </c>
      <c r="J278">
        <v>5500</v>
      </c>
    </row>
    <row r="279" spans="9:10" x14ac:dyDescent="0.3">
      <c r="I279" t="s">
        <v>20</v>
      </c>
      <c r="J279">
        <v>700</v>
      </c>
    </row>
    <row r="280" spans="9:10" x14ac:dyDescent="0.3">
      <c r="I280" t="s">
        <v>20</v>
      </c>
      <c r="J280">
        <v>2700</v>
      </c>
    </row>
    <row r="281" spans="9:10" x14ac:dyDescent="0.3">
      <c r="I281" t="s">
        <v>20</v>
      </c>
      <c r="J281">
        <v>8000</v>
      </c>
    </row>
    <row r="282" spans="9:10" x14ac:dyDescent="0.3">
      <c r="I282" t="s">
        <v>20</v>
      </c>
      <c r="J282">
        <v>2500</v>
      </c>
    </row>
    <row r="283" spans="9:10" x14ac:dyDescent="0.3">
      <c r="I283" t="s">
        <v>14</v>
      </c>
      <c r="J283">
        <v>164500</v>
      </c>
    </row>
    <row r="284" spans="9:10" x14ac:dyDescent="0.3">
      <c r="I284" t="s">
        <v>20</v>
      </c>
      <c r="J284">
        <v>8400</v>
      </c>
    </row>
    <row r="285" spans="9:10" x14ac:dyDescent="0.3">
      <c r="I285" t="s">
        <v>14</v>
      </c>
      <c r="J285">
        <v>8100</v>
      </c>
    </row>
    <row r="286" spans="9:10" x14ac:dyDescent="0.3">
      <c r="I286" t="s">
        <v>14</v>
      </c>
      <c r="J286">
        <v>9800</v>
      </c>
    </row>
    <row r="287" spans="9:10" x14ac:dyDescent="0.3">
      <c r="I287" t="s">
        <v>20</v>
      </c>
      <c r="J287">
        <v>900</v>
      </c>
    </row>
    <row r="288" spans="9:10" x14ac:dyDescent="0.3">
      <c r="I288" t="s">
        <v>74</v>
      </c>
      <c r="J288">
        <v>112100</v>
      </c>
    </row>
    <row r="289" spans="9:10" x14ac:dyDescent="0.3">
      <c r="I289" t="s">
        <v>20</v>
      </c>
      <c r="J289">
        <v>6300</v>
      </c>
    </row>
    <row r="290" spans="9:10" x14ac:dyDescent="0.3">
      <c r="I290" t="s">
        <v>14</v>
      </c>
      <c r="J290">
        <v>5600</v>
      </c>
    </row>
    <row r="291" spans="9:10" x14ac:dyDescent="0.3">
      <c r="I291" t="s">
        <v>20</v>
      </c>
      <c r="J291">
        <v>800</v>
      </c>
    </row>
    <row r="292" spans="9:10" x14ac:dyDescent="0.3">
      <c r="I292" t="s">
        <v>14</v>
      </c>
      <c r="J292">
        <v>168600</v>
      </c>
    </row>
    <row r="293" spans="9:10" x14ac:dyDescent="0.3">
      <c r="I293" t="s">
        <v>20</v>
      </c>
      <c r="J293">
        <v>1800</v>
      </c>
    </row>
    <row r="294" spans="9:10" x14ac:dyDescent="0.3">
      <c r="I294" t="s">
        <v>14</v>
      </c>
      <c r="J294">
        <v>7300</v>
      </c>
    </row>
    <row r="295" spans="9:10" x14ac:dyDescent="0.3">
      <c r="I295" t="s">
        <v>74</v>
      </c>
      <c r="J295">
        <v>6500</v>
      </c>
    </row>
    <row r="296" spans="9:10" x14ac:dyDescent="0.3">
      <c r="I296" t="s">
        <v>20</v>
      </c>
      <c r="J296">
        <v>600</v>
      </c>
    </row>
    <row r="297" spans="9:10" x14ac:dyDescent="0.3">
      <c r="I297" t="s">
        <v>14</v>
      </c>
      <c r="J297">
        <v>192900</v>
      </c>
    </row>
    <row r="298" spans="9:10" x14ac:dyDescent="0.3">
      <c r="I298" t="s">
        <v>14</v>
      </c>
      <c r="J298">
        <v>6100</v>
      </c>
    </row>
    <row r="299" spans="9:10" x14ac:dyDescent="0.3">
      <c r="I299" t="s">
        <v>14</v>
      </c>
      <c r="J299">
        <v>7200</v>
      </c>
    </row>
    <row r="300" spans="9:10" x14ac:dyDescent="0.3">
      <c r="I300" t="s">
        <v>20</v>
      </c>
      <c r="J300">
        <v>3500</v>
      </c>
    </row>
    <row r="301" spans="9:10" x14ac:dyDescent="0.3">
      <c r="I301" t="s">
        <v>14</v>
      </c>
      <c r="J301">
        <v>3800</v>
      </c>
    </row>
    <row r="302" spans="9:10" x14ac:dyDescent="0.3">
      <c r="I302" t="s">
        <v>14</v>
      </c>
      <c r="J302">
        <v>100</v>
      </c>
    </row>
    <row r="303" spans="9:10" x14ac:dyDescent="0.3">
      <c r="I303" t="s">
        <v>20</v>
      </c>
      <c r="J303">
        <v>900</v>
      </c>
    </row>
    <row r="304" spans="9:10" x14ac:dyDescent="0.3">
      <c r="I304" t="s">
        <v>14</v>
      </c>
      <c r="J304">
        <v>76100</v>
      </c>
    </row>
    <row r="305" spans="9:10" x14ac:dyDescent="0.3">
      <c r="I305" t="s">
        <v>14</v>
      </c>
      <c r="J305">
        <v>3400</v>
      </c>
    </row>
    <row r="306" spans="9:10" x14ac:dyDescent="0.3">
      <c r="I306" t="s">
        <v>20</v>
      </c>
      <c r="J306">
        <v>2100</v>
      </c>
    </row>
    <row r="307" spans="9:10" x14ac:dyDescent="0.3">
      <c r="I307" t="s">
        <v>20</v>
      </c>
      <c r="J307">
        <v>2800</v>
      </c>
    </row>
    <row r="308" spans="9:10" x14ac:dyDescent="0.3">
      <c r="I308" t="s">
        <v>14</v>
      </c>
      <c r="J308">
        <v>6500</v>
      </c>
    </row>
    <row r="309" spans="9:10" x14ac:dyDescent="0.3">
      <c r="I309" t="s">
        <v>20</v>
      </c>
      <c r="J309">
        <v>32900</v>
      </c>
    </row>
    <row r="310" spans="9:10" x14ac:dyDescent="0.3">
      <c r="I310" t="s">
        <v>14</v>
      </c>
      <c r="J310">
        <v>118200</v>
      </c>
    </row>
    <row r="311" spans="9:10" x14ac:dyDescent="0.3">
      <c r="I311" t="s">
        <v>74</v>
      </c>
      <c r="J311">
        <v>4100</v>
      </c>
    </row>
    <row r="312" spans="9:10" x14ac:dyDescent="0.3">
      <c r="I312" t="s">
        <v>14</v>
      </c>
      <c r="J312">
        <v>7800</v>
      </c>
    </row>
    <row r="313" spans="9:10" x14ac:dyDescent="0.3">
      <c r="I313" t="s">
        <v>20</v>
      </c>
      <c r="J313">
        <v>6300</v>
      </c>
    </row>
    <row r="314" spans="9:10" x14ac:dyDescent="0.3">
      <c r="I314" t="s">
        <v>20</v>
      </c>
      <c r="J314">
        <v>59100</v>
      </c>
    </row>
    <row r="315" spans="9:10" x14ac:dyDescent="0.3">
      <c r="I315" t="s">
        <v>20</v>
      </c>
      <c r="J315">
        <v>2200</v>
      </c>
    </row>
    <row r="316" spans="9:10" x14ac:dyDescent="0.3">
      <c r="I316" t="s">
        <v>20</v>
      </c>
      <c r="J316">
        <v>1400</v>
      </c>
    </row>
    <row r="317" spans="9:10" x14ac:dyDescent="0.3">
      <c r="I317" t="s">
        <v>14</v>
      </c>
      <c r="J317">
        <v>9500</v>
      </c>
    </row>
    <row r="318" spans="9:10" x14ac:dyDescent="0.3">
      <c r="I318" t="s">
        <v>14</v>
      </c>
      <c r="J318">
        <v>9600</v>
      </c>
    </row>
    <row r="319" spans="9:10" x14ac:dyDescent="0.3">
      <c r="I319" t="s">
        <v>14</v>
      </c>
      <c r="J319">
        <v>6600</v>
      </c>
    </row>
    <row r="320" spans="9:10" x14ac:dyDescent="0.3">
      <c r="I320" t="s">
        <v>14</v>
      </c>
      <c r="J320">
        <v>5700</v>
      </c>
    </row>
    <row r="321" spans="9:10" x14ac:dyDescent="0.3">
      <c r="I321" t="s">
        <v>74</v>
      </c>
      <c r="J321">
        <v>8400</v>
      </c>
    </row>
    <row r="322" spans="9:10" x14ac:dyDescent="0.3">
      <c r="I322" t="s">
        <v>14</v>
      </c>
      <c r="J322">
        <v>84400</v>
      </c>
    </row>
    <row r="323" spans="9:10" x14ac:dyDescent="0.3">
      <c r="I323" t="s">
        <v>14</v>
      </c>
      <c r="J323">
        <v>170400</v>
      </c>
    </row>
    <row r="324" spans="9:10" x14ac:dyDescent="0.3">
      <c r="I324" t="s">
        <v>20</v>
      </c>
      <c r="J324">
        <v>117900</v>
      </c>
    </row>
    <row r="325" spans="9:10" x14ac:dyDescent="0.3">
      <c r="I325" t="s">
        <v>14</v>
      </c>
      <c r="J325">
        <v>8900</v>
      </c>
    </row>
    <row r="326" spans="9:10" x14ac:dyDescent="0.3">
      <c r="I326" t="s">
        <v>20</v>
      </c>
      <c r="J326">
        <v>7100</v>
      </c>
    </row>
    <row r="327" spans="9:10" x14ac:dyDescent="0.3">
      <c r="I327" t="s">
        <v>14</v>
      </c>
      <c r="J327">
        <v>6500</v>
      </c>
    </row>
    <row r="328" spans="9:10" x14ac:dyDescent="0.3">
      <c r="I328" t="s">
        <v>14</v>
      </c>
      <c r="J328">
        <v>7200</v>
      </c>
    </row>
    <row r="329" spans="9:10" x14ac:dyDescent="0.3">
      <c r="I329" t="s">
        <v>14</v>
      </c>
      <c r="J329">
        <v>2600</v>
      </c>
    </row>
    <row r="330" spans="9:10" x14ac:dyDescent="0.3">
      <c r="I330" t="s">
        <v>20</v>
      </c>
      <c r="J330">
        <v>98700</v>
      </c>
    </row>
    <row r="331" spans="9:10" x14ac:dyDescent="0.3">
      <c r="I331" t="s">
        <v>47</v>
      </c>
      <c r="J331">
        <v>93800</v>
      </c>
    </row>
    <row r="332" spans="9:10" x14ac:dyDescent="0.3">
      <c r="I332" t="s">
        <v>20</v>
      </c>
      <c r="J332">
        <v>33700</v>
      </c>
    </row>
    <row r="333" spans="9:10" x14ac:dyDescent="0.3">
      <c r="I333" t="s">
        <v>20</v>
      </c>
      <c r="J333">
        <v>3300</v>
      </c>
    </row>
    <row r="334" spans="9:10" x14ac:dyDescent="0.3">
      <c r="I334" t="s">
        <v>20</v>
      </c>
      <c r="J334">
        <v>20700</v>
      </c>
    </row>
    <row r="335" spans="9:10" x14ac:dyDescent="0.3">
      <c r="I335" t="s">
        <v>20</v>
      </c>
      <c r="J335">
        <v>9600</v>
      </c>
    </row>
    <row r="336" spans="9:10" x14ac:dyDescent="0.3">
      <c r="I336" t="s">
        <v>20</v>
      </c>
      <c r="J336">
        <v>66200</v>
      </c>
    </row>
    <row r="337" spans="9:10" x14ac:dyDescent="0.3">
      <c r="I337" t="s">
        <v>20</v>
      </c>
      <c r="J337">
        <v>173800</v>
      </c>
    </row>
    <row r="338" spans="9:10" x14ac:dyDescent="0.3">
      <c r="I338" t="s">
        <v>14</v>
      </c>
      <c r="J338">
        <v>70700</v>
      </c>
    </row>
    <row r="339" spans="9:10" x14ac:dyDescent="0.3">
      <c r="I339" t="s">
        <v>20</v>
      </c>
      <c r="J339">
        <v>94500</v>
      </c>
    </row>
    <row r="340" spans="9:10" x14ac:dyDescent="0.3">
      <c r="I340" t="s">
        <v>20</v>
      </c>
      <c r="J340">
        <v>69800</v>
      </c>
    </row>
    <row r="341" spans="9:10" x14ac:dyDescent="0.3">
      <c r="I341" t="s">
        <v>74</v>
      </c>
      <c r="J341">
        <v>136300</v>
      </c>
    </row>
    <row r="342" spans="9:10" x14ac:dyDescent="0.3">
      <c r="I342" t="s">
        <v>14</v>
      </c>
      <c r="J342">
        <v>37100</v>
      </c>
    </row>
    <row r="343" spans="9:10" x14ac:dyDescent="0.3">
      <c r="I343" t="s">
        <v>14</v>
      </c>
      <c r="J343">
        <v>114300</v>
      </c>
    </row>
    <row r="344" spans="9:10" x14ac:dyDescent="0.3">
      <c r="I344" t="s">
        <v>14</v>
      </c>
      <c r="J344">
        <v>47900</v>
      </c>
    </row>
    <row r="345" spans="9:10" x14ac:dyDescent="0.3">
      <c r="I345" t="s">
        <v>14</v>
      </c>
      <c r="J345">
        <v>9000</v>
      </c>
    </row>
    <row r="346" spans="9:10" x14ac:dyDescent="0.3">
      <c r="I346" t="s">
        <v>14</v>
      </c>
      <c r="J346">
        <v>197600</v>
      </c>
    </row>
    <row r="347" spans="9:10" x14ac:dyDescent="0.3">
      <c r="I347" t="s">
        <v>14</v>
      </c>
      <c r="J347">
        <v>157600</v>
      </c>
    </row>
    <row r="348" spans="9:10" x14ac:dyDescent="0.3">
      <c r="I348" t="s">
        <v>14</v>
      </c>
      <c r="J348">
        <v>8000</v>
      </c>
    </row>
    <row r="349" spans="9:10" x14ac:dyDescent="0.3">
      <c r="I349" t="s">
        <v>20</v>
      </c>
      <c r="J349">
        <v>900</v>
      </c>
    </row>
    <row r="350" spans="9:10" x14ac:dyDescent="0.3">
      <c r="I350" t="s">
        <v>14</v>
      </c>
      <c r="J350">
        <v>199000</v>
      </c>
    </row>
    <row r="351" spans="9:10" x14ac:dyDescent="0.3">
      <c r="I351" t="s">
        <v>14</v>
      </c>
      <c r="J351">
        <v>180800</v>
      </c>
    </row>
    <row r="352" spans="9:10" x14ac:dyDescent="0.3">
      <c r="I352" t="s">
        <v>14</v>
      </c>
      <c r="J352">
        <v>100</v>
      </c>
    </row>
    <row r="353" spans="9:10" x14ac:dyDescent="0.3">
      <c r="I353" t="s">
        <v>20</v>
      </c>
      <c r="J353">
        <v>74100</v>
      </c>
    </row>
    <row r="354" spans="9:10" x14ac:dyDescent="0.3">
      <c r="I354" t="s">
        <v>14</v>
      </c>
      <c r="J354">
        <v>2800</v>
      </c>
    </row>
    <row r="355" spans="9:10" x14ac:dyDescent="0.3">
      <c r="I355" t="s">
        <v>20</v>
      </c>
      <c r="J355">
        <v>33600</v>
      </c>
    </row>
    <row r="356" spans="9:10" x14ac:dyDescent="0.3">
      <c r="I356" t="s">
        <v>20</v>
      </c>
      <c r="J356">
        <v>6100</v>
      </c>
    </row>
    <row r="357" spans="9:10" x14ac:dyDescent="0.3">
      <c r="I357" t="s">
        <v>47</v>
      </c>
      <c r="J357">
        <v>3800</v>
      </c>
    </row>
    <row r="358" spans="9:10" x14ac:dyDescent="0.3">
      <c r="I358" t="s">
        <v>14</v>
      </c>
      <c r="J358">
        <v>9300</v>
      </c>
    </row>
    <row r="359" spans="9:10" x14ac:dyDescent="0.3">
      <c r="I359" t="s">
        <v>20</v>
      </c>
      <c r="J359">
        <v>2300</v>
      </c>
    </row>
    <row r="360" spans="9:10" x14ac:dyDescent="0.3">
      <c r="I360" t="s">
        <v>14</v>
      </c>
      <c r="J360">
        <v>9700</v>
      </c>
    </row>
    <row r="361" spans="9:10" x14ac:dyDescent="0.3">
      <c r="I361" t="s">
        <v>20</v>
      </c>
      <c r="J361">
        <v>4000</v>
      </c>
    </row>
    <row r="362" spans="9:10" x14ac:dyDescent="0.3">
      <c r="I362" t="s">
        <v>20</v>
      </c>
      <c r="J362">
        <v>59700</v>
      </c>
    </row>
    <row r="363" spans="9:10" x14ac:dyDescent="0.3">
      <c r="I363" t="s">
        <v>20</v>
      </c>
      <c r="J363">
        <v>5500</v>
      </c>
    </row>
    <row r="364" spans="9:10" x14ac:dyDescent="0.3">
      <c r="I364" t="s">
        <v>20</v>
      </c>
      <c r="J364">
        <v>3700</v>
      </c>
    </row>
    <row r="365" spans="9:10" x14ac:dyDescent="0.3">
      <c r="I365" t="s">
        <v>20</v>
      </c>
      <c r="J365">
        <v>5200</v>
      </c>
    </row>
    <row r="366" spans="9:10" x14ac:dyDescent="0.3">
      <c r="I366" t="s">
        <v>20</v>
      </c>
      <c r="J366">
        <v>900</v>
      </c>
    </row>
    <row r="367" spans="9:10" x14ac:dyDescent="0.3">
      <c r="I367" t="s">
        <v>20</v>
      </c>
      <c r="J367">
        <v>1600</v>
      </c>
    </row>
    <row r="368" spans="9:10" x14ac:dyDescent="0.3">
      <c r="I368" t="s">
        <v>20</v>
      </c>
      <c r="J368">
        <v>1800</v>
      </c>
    </row>
    <row r="369" spans="9:10" x14ac:dyDescent="0.3">
      <c r="I369" t="s">
        <v>14</v>
      </c>
      <c r="J369">
        <v>9900</v>
      </c>
    </row>
    <row r="370" spans="9:10" x14ac:dyDescent="0.3">
      <c r="I370" t="s">
        <v>20</v>
      </c>
      <c r="J370">
        <v>5200</v>
      </c>
    </row>
    <row r="371" spans="9:10" x14ac:dyDescent="0.3">
      <c r="I371" t="s">
        <v>20</v>
      </c>
      <c r="J371">
        <v>5400</v>
      </c>
    </row>
    <row r="372" spans="9:10" x14ac:dyDescent="0.3">
      <c r="I372" t="s">
        <v>20</v>
      </c>
      <c r="J372">
        <v>112300</v>
      </c>
    </row>
    <row r="373" spans="9:10" x14ac:dyDescent="0.3">
      <c r="I373" t="s">
        <v>14</v>
      </c>
      <c r="J373">
        <v>189200</v>
      </c>
    </row>
    <row r="374" spans="9:10" x14ac:dyDescent="0.3">
      <c r="I374" t="s">
        <v>20</v>
      </c>
      <c r="J374">
        <v>900</v>
      </c>
    </row>
    <row r="375" spans="9:10" x14ac:dyDescent="0.3">
      <c r="I375" t="s">
        <v>20</v>
      </c>
      <c r="J375">
        <v>22500</v>
      </c>
    </row>
    <row r="376" spans="9:10" x14ac:dyDescent="0.3">
      <c r="I376" t="s">
        <v>14</v>
      </c>
      <c r="J376">
        <v>167400</v>
      </c>
    </row>
    <row r="377" spans="9:10" x14ac:dyDescent="0.3">
      <c r="I377" t="s">
        <v>14</v>
      </c>
      <c r="J377">
        <v>2700</v>
      </c>
    </row>
    <row r="378" spans="9:10" x14ac:dyDescent="0.3">
      <c r="I378" t="s">
        <v>20</v>
      </c>
      <c r="J378">
        <v>3400</v>
      </c>
    </row>
    <row r="379" spans="9:10" x14ac:dyDescent="0.3">
      <c r="I379" t="s">
        <v>14</v>
      </c>
      <c r="J379">
        <v>49700</v>
      </c>
    </row>
    <row r="380" spans="9:10" x14ac:dyDescent="0.3">
      <c r="I380" t="s">
        <v>14</v>
      </c>
      <c r="J380">
        <v>178200</v>
      </c>
    </row>
    <row r="381" spans="9:10" x14ac:dyDescent="0.3">
      <c r="I381" t="s">
        <v>14</v>
      </c>
      <c r="J381">
        <v>7200</v>
      </c>
    </row>
    <row r="382" spans="9:10" x14ac:dyDescent="0.3">
      <c r="I382" t="s">
        <v>20</v>
      </c>
      <c r="J382">
        <v>2500</v>
      </c>
    </row>
    <row r="383" spans="9:10" x14ac:dyDescent="0.3">
      <c r="I383" t="s">
        <v>20</v>
      </c>
      <c r="J383">
        <v>5300</v>
      </c>
    </row>
    <row r="384" spans="9:10" x14ac:dyDescent="0.3">
      <c r="I384" t="s">
        <v>14</v>
      </c>
      <c r="J384">
        <v>9100</v>
      </c>
    </row>
    <row r="385" spans="9:10" x14ac:dyDescent="0.3">
      <c r="I385" t="s">
        <v>20</v>
      </c>
      <c r="J385">
        <v>6300</v>
      </c>
    </row>
    <row r="386" spans="9:10" x14ac:dyDescent="0.3">
      <c r="I386" t="s">
        <v>20</v>
      </c>
      <c r="J386">
        <v>114400</v>
      </c>
    </row>
    <row r="387" spans="9:10" x14ac:dyDescent="0.3">
      <c r="I387" t="s">
        <v>20</v>
      </c>
      <c r="J387">
        <v>38900</v>
      </c>
    </row>
    <row r="388" spans="9:10" x14ac:dyDescent="0.3">
      <c r="I388" t="s">
        <v>14</v>
      </c>
      <c r="J388">
        <v>135500</v>
      </c>
    </row>
    <row r="389" spans="9:10" x14ac:dyDescent="0.3">
      <c r="I389" t="s">
        <v>14</v>
      </c>
      <c r="J389">
        <v>109000</v>
      </c>
    </row>
    <row r="390" spans="9:10" x14ac:dyDescent="0.3">
      <c r="I390" t="s">
        <v>74</v>
      </c>
      <c r="J390">
        <v>114800</v>
      </c>
    </row>
    <row r="391" spans="9:10" x14ac:dyDescent="0.3">
      <c r="I391" t="s">
        <v>20</v>
      </c>
      <c r="J391">
        <v>83000</v>
      </c>
    </row>
    <row r="392" spans="9:10" x14ac:dyDescent="0.3">
      <c r="I392" t="s">
        <v>20</v>
      </c>
      <c r="J392">
        <v>2400</v>
      </c>
    </row>
    <row r="393" spans="9:10" x14ac:dyDescent="0.3">
      <c r="I393" t="s">
        <v>14</v>
      </c>
      <c r="J393">
        <v>60400</v>
      </c>
    </row>
    <row r="394" spans="9:10" x14ac:dyDescent="0.3">
      <c r="I394" t="s">
        <v>14</v>
      </c>
      <c r="J394">
        <v>102900</v>
      </c>
    </row>
    <row r="395" spans="9:10" x14ac:dyDescent="0.3">
      <c r="I395" t="s">
        <v>20</v>
      </c>
      <c r="J395">
        <v>62800</v>
      </c>
    </row>
    <row r="396" spans="9:10" x14ac:dyDescent="0.3">
      <c r="I396" t="s">
        <v>20</v>
      </c>
      <c r="J396">
        <v>800</v>
      </c>
    </row>
    <row r="397" spans="9:10" x14ac:dyDescent="0.3">
      <c r="I397" t="s">
        <v>20</v>
      </c>
      <c r="J397">
        <v>7100</v>
      </c>
    </row>
    <row r="398" spans="9:10" x14ac:dyDescent="0.3">
      <c r="I398" t="s">
        <v>20</v>
      </c>
      <c r="J398">
        <v>46100</v>
      </c>
    </row>
    <row r="399" spans="9:10" x14ac:dyDescent="0.3">
      <c r="I399" t="s">
        <v>20</v>
      </c>
      <c r="J399">
        <v>8100</v>
      </c>
    </row>
    <row r="400" spans="9:10" x14ac:dyDescent="0.3">
      <c r="I400" t="s">
        <v>20</v>
      </c>
      <c r="J400">
        <v>1700</v>
      </c>
    </row>
    <row r="401" spans="9:10" x14ac:dyDescent="0.3">
      <c r="I401" t="s">
        <v>14</v>
      </c>
      <c r="J401">
        <v>97300</v>
      </c>
    </row>
    <row r="402" spans="9:10" x14ac:dyDescent="0.3">
      <c r="I402" t="s">
        <v>14</v>
      </c>
      <c r="J402">
        <v>100</v>
      </c>
    </row>
    <row r="403" spans="9:10" x14ac:dyDescent="0.3">
      <c r="I403" t="s">
        <v>20</v>
      </c>
      <c r="J403">
        <v>900</v>
      </c>
    </row>
    <row r="404" spans="9:10" x14ac:dyDescent="0.3">
      <c r="I404" t="s">
        <v>14</v>
      </c>
      <c r="J404">
        <v>7300</v>
      </c>
    </row>
    <row r="405" spans="9:10" x14ac:dyDescent="0.3">
      <c r="I405" t="s">
        <v>14</v>
      </c>
      <c r="J405">
        <v>195800</v>
      </c>
    </row>
    <row r="406" spans="9:10" x14ac:dyDescent="0.3">
      <c r="I406" t="s">
        <v>20</v>
      </c>
      <c r="J406">
        <v>48900</v>
      </c>
    </row>
    <row r="407" spans="9:10" x14ac:dyDescent="0.3">
      <c r="I407" t="s">
        <v>14</v>
      </c>
      <c r="J407">
        <v>29600</v>
      </c>
    </row>
    <row r="408" spans="9:10" x14ac:dyDescent="0.3">
      <c r="I408" t="s">
        <v>20</v>
      </c>
      <c r="J408">
        <v>39300</v>
      </c>
    </row>
    <row r="409" spans="9:10" x14ac:dyDescent="0.3">
      <c r="I409" t="s">
        <v>20</v>
      </c>
      <c r="J409">
        <v>3400</v>
      </c>
    </row>
    <row r="410" spans="9:10" x14ac:dyDescent="0.3">
      <c r="I410" t="s">
        <v>20</v>
      </c>
      <c r="J410">
        <v>9200</v>
      </c>
    </row>
    <row r="411" spans="9:10" x14ac:dyDescent="0.3">
      <c r="I411" t="s">
        <v>14</v>
      </c>
      <c r="J411">
        <v>135600</v>
      </c>
    </row>
    <row r="412" spans="9:10" x14ac:dyDescent="0.3">
      <c r="I412" t="s">
        <v>47</v>
      </c>
      <c r="J412">
        <v>153700</v>
      </c>
    </row>
    <row r="413" spans="9:10" x14ac:dyDescent="0.3">
      <c r="I413" t="s">
        <v>20</v>
      </c>
      <c r="J413">
        <v>7800</v>
      </c>
    </row>
    <row r="414" spans="9:10" x14ac:dyDescent="0.3">
      <c r="I414" t="s">
        <v>20</v>
      </c>
      <c r="J414">
        <v>2100</v>
      </c>
    </row>
    <row r="415" spans="9:10" x14ac:dyDescent="0.3">
      <c r="I415" t="s">
        <v>47</v>
      </c>
      <c r="J415">
        <v>189500</v>
      </c>
    </row>
    <row r="416" spans="9:10" x14ac:dyDescent="0.3">
      <c r="I416" t="s">
        <v>14</v>
      </c>
      <c r="J416">
        <v>188200</v>
      </c>
    </row>
    <row r="417" spans="9:10" x14ac:dyDescent="0.3">
      <c r="I417" t="s">
        <v>14</v>
      </c>
      <c r="J417">
        <v>113500</v>
      </c>
    </row>
    <row r="418" spans="9:10" x14ac:dyDescent="0.3">
      <c r="I418" t="s">
        <v>14</v>
      </c>
      <c r="J418">
        <v>134600</v>
      </c>
    </row>
    <row r="419" spans="9:10" x14ac:dyDescent="0.3">
      <c r="I419" t="s">
        <v>14</v>
      </c>
      <c r="J419">
        <v>1700</v>
      </c>
    </row>
    <row r="420" spans="9:10" x14ac:dyDescent="0.3">
      <c r="I420" t="s">
        <v>14</v>
      </c>
      <c r="J420">
        <v>163700</v>
      </c>
    </row>
    <row r="421" spans="9:10" x14ac:dyDescent="0.3">
      <c r="I421" t="s">
        <v>20</v>
      </c>
      <c r="J421">
        <v>113800</v>
      </c>
    </row>
    <row r="422" spans="9:10" x14ac:dyDescent="0.3">
      <c r="I422" t="s">
        <v>20</v>
      </c>
      <c r="J422">
        <v>5000</v>
      </c>
    </row>
    <row r="423" spans="9:10" x14ac:dyDescent="0.3">
      <c r="I423" t="s">
        <v>14</v>
      </c>
      <c r="J423">
        <v>9400</v>
      </c>
    </row>
    <row r="424" spans="9:10" x14ac:dyDescent="0.3">
      <c r="I424" t="s">
        <v>20</v>
      </c>
      <c r="J424">
        <v>8700</v>
      </c>
    </row>
    <row r="425" spans="9:10" x14ac:dyDescent="0.3">
      <c r="I425" t="s">
        <v>14</v>
      </c>
      <c r="J425">
        <v>147800</v>
      </c>
    </row>
    <row r="426" spans="9:10" x14ac:dyDescent="0.3">
      <c r="I426" t="s">
        <v>14</v>
      </c>
      <c r="J426">
        <v>5100</v>
      </c>
    </row>
    <row r="427" spans="9:10" x14ac:dyDescent="0.3">
      <c r="I427" t="s">
        <v>20</v>
      </c>
      <c r="J427">
        <v>2700</v>
      </c>
    </row>
    <row r="428" spans="9:10" x14ac:dyDescent="0.3">
      <c r="I428" t="s">
        <v>20</v>
      </c>
      <c r="J428">
        <v>1800</v>
      </c>
    </row>
    <row r="429" spans="9:10" x14ac:dyDescent="0.3">
      <c r="I429" t="s">
        <v>20</v>
      </c>
      <c r="J429">
        <v>174500</v>
      </c>
    </row>
    <row r="430" spans="9:10" x14ac:dyDescent="0.3">
      <c r="I430" t="s">
        <v>14</v>
      </c>
      <c r="J430">
        <v>101400</v>
      </c>
    </row>
    <row r="431" spans="9:10" x14ac:dyDescent="0.3">
      <c r="I431" t="s">
        <v>74</v>
      </c>
      <c r="J431">
        <v>191000</v>
      </c>
    </row>
    <row r="432" spans="9:10" x14ac:dyDescent="0.3">
      <c r="I432" t="s">
        <v>14</v>
      </c>
      <c r="J432">
        <v>8100</v>
      </c>
    </row>
    <row r="433" spans="9:10" x14ac:dyDescent="0.3">
      <c r="I433" t="s">
        <v>20</v>
      </c>
      <c r="J433">
        <v>5100</v>
      </c>
    </row>
    <row r="434" spans="9:10" x14ac:dyDescent="0.3">
      <c r="I434" t="s">
        <v>14</v>
      </c>
      <c r="J434">
        <v>7700</v>
      </c>
    </row>
    <row r="435" spans="9:10" x14ac:dyDescent="0.3">
      <c r="I435" t="s">
        <v>14</v>
      </c>
      <c r="J435">
        <v>121400</v>
      </c>
    </row>
    <row r="436" spans="9:10" x14ac:dyDescent="0.3">
      <c r="I436" t="s">
        <v>74</v>
      </c>
      <c r="J436">
        <v>5400</v>
      </c>
    </row>
    <row r="437" spans="9:10" x14ac:dyDescent="0.3">
      <c r="I437" t="s">
        <v>20</v>
      </c>
      <c r="J437">
        <v>152400</v>
      </c>
    </row>
    <row r="438" spans="9:10" x14ac:dyDescent="0.3">
      <c r="I438" t="s">
        <v>20</v>
      </c>
      <c r="J438">
        <v>1300</v>
      </c>
    </row>
    <row r="439" spans="9:10" x14ac:dyDescent="0.3">
      <c r="I439" t="s">
        <v>20</v>
      </c>
      <c r="J439">
        <v>8100</v>
      </c>
    </row>
    <row r="440" spans="9:10" x14ac:dyDescent="0.3">
      <c r="I440" t="s">
        <v>20</v>
      </c>
      <c r="J440">
        <v>8300</v>
      </c>
    </row>
    <row r="441" spans="9:10" x14ac:dyDescent="0.3">
      <c r="I441" t="s">
        <v>20</v>
      </c>
      <c r="J441">
        <v>28400</v>
      </c>
    </row>
    <row r="442" spans="9:10" x14ac:dyDescent="0.3">
      <c r="I442" t="s">
        <v>20</v>
      </c>
      <c r="J442">
        <v>102500</v>
      </c>
    </row>
    <row r="443" spans="9:10" x14ac:dyDescent="0.3">
      <c r="I443" t="s">
        <v>14</v>
      </c>
      <c r="J443">
        <v>7000</v>
      </c>
    </row>
    <row r="444" spans="9:10" x14ac:dyDescent="0.3">
      <c r="I444" t="s">
        <v>20</v>
      </c>
      <c r="J444">
        <v>5400</v>
      </c>
    </row>
    <row r="445" spans="9:10" x14ac:dyDescent="0.3">
      <c r="I445" t="s">
        <v>74</v>
      </c>
      <c r="J445">
        <v>9300</v>
      </c>
    </row>
    <row r="446" spans="9:10" x14ac:dyDescent="0.3">
      <c r="I446" t="s">
        <v>20</v>
      </c>
      <c r="J446">
        <v>6200</v>
      </c>
    </row>
    <row r="447" spans="9:10" x14ac:dyDescent="0.3">
      <c r="I447" t="s">
        <v>20</v>
      </c>
      <c r="J447">
        <v>2100</v>
      </c>
    </row>
    <row r="448" spans="9:10" x14ac:dyDescent="0.3">
      <c r="I448" t="s">
        <v>14</v>
      </c>
      <c r="J448">
        <v>6800</v>
      </c>
    </row>
    <row r="449" spans="9:10" x14ac:dyDescent="0.3">
      <c r="I449" t="s">
        <v>74</v>
      </c>
      <c r="J449">
        <v>155200</v>
      </c>
    </row>
    <row r="450" spans="9:10" x14ac:dyDescent="0.3">
      <c r="I450" t="s">
        <v>14</v>
      </c>
      <c r="J450">
        <v>89900</v>
      </c>
    </row>
    <row r="451" spans="9:10" x14ac:dyDescent="0.3">
      <c r="I451" t="s">
        <v>20</v>
      </c>
      <c r="J451">
        <v>900</v>
      </c>
    </row>
    <row r="452" spans="9:10" x14ac:dyDescent="0.3">
      <c r="I452" t="s">
        <v>14</v>
      </c>
      <c r="J452">
        <v>100</v>
      </c>
    </row>
    <row r="453" spans="9:10" x14ac:dyDescent="0.3">
      <c r="I453" t="s">
        <v>20</v>
      </c>
      <c r="J453">
        <v>148400</v>
      </c>
    </row>
    <row r="454" spans="9:10" x14ac:dyDescent="0.3">
      <c r="I454" t="s">
        <v>14</v>
      </c>
      <c r="J454">
        <v>4800</v>
      </c>
    </row>
    <row r="455" spans="9:10" x14ac:dyDescent="0.3">
      <c r="I455" t="s">
        <v>14</v>
      </c>
      <c r="J455">
        <v>182400</v>
      </c>
    </row>
    <row r="456" spans="9:10" x14ac:dyDescent="0.3">
      <c r="I456" t="s">
        <v>14</v>
      </c>
      <c r="J456">
        <v>4000</v>
      </c>
    </row>
    <row r="457" spans="9:10" x14ac:dyDescent="0.3">
      <c r="I457" t="s">
        <v>20</v>
      </c>
      <c r="J457">
        <v>116500</v>
      </c>
    </row>
    <row r="458" spans="9:10" x14ac:dyDescent="0.3">
      <c r="I458" t="s">
        <v>20</v>
      </c>
      <c r="J458">
        <v>146400</v>
      </c>
    </row>
    <row r="459" spans="9:10" x14ac:dyDescent="0.3">
      <c r="I459" t="s">
        <v>14</v>
      </c>
      <c r="J459">
        <v>5000</v>
      </c>
    </row>
    <row r="460" spans="9:10" x14ac:dyDescent="0.3">
      <c r="I460" t="s">
        <v>20</v>
      </c>
      <c r="J460">
        <v>33800</v>
      </c>
    </row>
    <row r="461" spans="9:10" x14ac:dyDescent="0.3">
      <c r="I461" t="s">
        <v>14</v>
      </c>
      <c r="J461">
        <v>6300</v>
      </c>
    </row>
    <row r="462" spans="9:10" x14ac:dyDescent="0.3">
      <c r="I462" t="s">
        <v>20</v>
      </c>
      <c r="J462">
        <v>2400</v>
      </c>
    </row>
    <row r="463" spans="9:10" x14ac:dyDescent="0.3">
      <c r="I463" t="s">
        <v>20</v>
      </c>
      <c r="J463">
        <v>98800</v>
      </c>
    </row>
    <row r="464" spans="9:10" x14ac:dyDescent="0.3">
      <c r="I464" t="s">
        <v>14</v>
      </c>
      <c r="J464">
        <v>188800</v>
      </c>
    </row>
    <row r="465" spans="9:10" x14ac:dyDescent="0.3">
      <c r="I465" t="s">
        <v>20</v>
      </c>
      <c r="J465">
        <v>134300</v>
      </c>
    </row>
    <row r="466" spans="9:10" x14ac:dyDescent="0.3">
      <c r="I466" t="s">
        <v>20</v>
      </c>
      <c r="J466">
        <v>71200</v>
      </c>
    </row>
    <row r="467" spans="9:10" x14ac:dyDescent="0.3">
      <c r="I467" t="s">
        <v>20</v>
      </c>
      <c r="J467">
        <v>4700</v>
      </c>
    </row>
    <row r="468" spans="9:10" x14ac:dyDescent="0.3">
      <c r="I468" t="s">
        <v>20</v>
      </c>
      <c r="J468">
        <v>1200</v>
      </c>
    </row>
    <row r="469" spans="9:10" x14ac:dyDescent="0.3">
      <c r="I469" t="s">
        <v>20</v>
      </c>
      <c r="J469">
        <v>1400</v>
      </c>
    </row>
    <row r="470" spans="9:10" x14ac:dyDescent="0.3">
      <c r="I470" t="s">
        <v>14</v>
      </c>
      <c r="J470">
        <v>4000</v>
      </c>
    </row>
    <row r="471" spans="9:10" x14ac:dyDescent="0.3">
      <c r="I471" t="s">
        <v>20</v>
      </c>
      <c r="J471">
        <v>5600</v>
      </c>
    </row>
    <row r="472" spans="9:10" x14ac:dyDescent="0.3">
      <c r="I472" t="s">
        <v>20</v>
      </c>
      <c r="J472">
        <v>3600</v>
      </c>
    </row>
    <row r="473" spans="9:10" x14ac:dyDescent="0.3">
      <c r="I473" t="s">
        <v>20</v>
      </c>
      <c r="J473">
        <v>3100</v>
      </c>
    </row>
    <row r="474" spans="9:10" x14ac:dyDescent="0.3">
      <c r="I474" t="s">
        <v>14</v>
      </c>
      <c r="J474">
        <v>153800</v>
      </c>
    </row>
    <row r="475" spans="9:10" x14ac:dyDescent="0.3">
      <c r="I475" t="s">
        <v>20</v>
      </c>
      <c r="J475">
        <v>5000</v>
      </c>
    </row>
    <row r="476" spans="9:10" x14ac:dyDescent="0.3">
      <c r="I476" t="s">
        <v>20</v>
      </c>
      <c r="J476">
        <v>4000</v>
      </c>
    </row>
    <row r="477" spans="9:10" x14ac:dyDescent="0.3">
      <c r="I477" t="s">
        <v>20</v>
      </c>
      <c r="J477">
        <v>7400</v>
      </c>
    </row>
    <row r="478" spans="9:10" x14ac:dyDescent="0.3">
      <c r="I478" t="s">
        <v>14</v>
      </c>
      <c r="J478">
        <v>191500</v>
      </c>
    </row>
    <row r="479" spans="9:10" x14ac:dyDescent="0.3">
      <c r="I479" t="s">
        <v>14</v>
      </c>
      <c r="J479">
        <v>8500</v>
      </c>
    </row>
    <row r="480" spans="9:10" x14ac:dyDescent="0.3">
      <c r="I480" t="s">
        <v>20</v>
      </c>
      <c r="J480">
        <v>68800</v>
      </c>
    </row>
    <row r="481" spans="9:10" x14ac:dyDescent="0.3">
      <c r="I481" t="s">
        <v>20</v>
      </c>
      <c r="J481">
        <v>2400</v>
      </c>
    </row>
    <row r="482" spans="9:10" x14ac:dyDescent="0.3">
      <c r="I482" t="s">
        <v>20</v>
      </c>
      <c r="J482">
        <v>8600</v>
      </c>
    </row>
    <row r="483" spans="9:10" x14ac:dyDescent="0.3">
      <c r="I483" t="s">
        <v>14</v>
      </c>
      <c r="J483">
        <v>196600</v>
      </c>
    </row>
    <row r="484" spans="9:10" x14ac:dyDescent="0.3">
      <c r="I484" t="s">
        <v>14</v>
      </c>
      <c r="J484">
        <v>4200</v>
      </c>
    </row>
    <row r="485" spans="9:10" x14ac:dyDescent="0.3">
      <c r="I485" t="s">
        <v>14</v>
      </c>
      <c r="J485">
        <v>91400</v>
      </c>
    </row>
    <row r="486" spans="9:10" x14ac:dyDescent="0.3">
      <c r="I486" t="s">
        <v>20</v>
      </c>
      <c r="J486">
        <v>29600</v>
      </c>
    </row>
    <row r="487" spans="9:10" x14ac:dyDescent="0.3">
      <c r="I487" t="s">
        <v>14</v>
      </c>
      <c r="J487">
        <v>90600</v>
      </c>
    </row>
    <row r="488" spans="9:10" x14ac:dyDescent="0.3">
      <c r="I488" t="s">
        <v>14</v>
      </c>
      <c r="J488">
        <v>5200</v>
      </c>
    </row>
    <row r="489" spans="9:10" x14ac:dyDescent="0.3">
      <c r="I489" t="s">
        <v>20</v>
      </c>
      <c r="J489">
        <v>110300</v>
      </c>
    </row>
    <row r="490" spans="9:10" x14ac:dyDescent="0.3">
      <c r="I490" t="s">
        <v>20</v>
      </c>
      <c r="J490">
        <v>5300</v>
      </c>
    </row>
    <row r="491" spans="9:10" x14ac:dyDescent="0.3">
      <c r="I491" t="s">
        <v>20</v>
      </c>
      <c r="J491">
        <v>9200</v>
      </c>
    </row>
    <row r="492" spans="9:10" x14ac:dyDescent="0.3">
      <c r="I492" t="s">
        <v>20</v>
      </c>
      <c r="J492">
        <v>2400</v>
      </c>
    </row>
    <row r="493" spans="9:10" x14ac:dyDescent="0.3">
      <c r="I493" t="s">
        <v>20</v>
      </c>
      <c r="J493">
        <v>56800</v>
      </c>
    </row>
    <row r="494" spans="9:10" x14ac:dyDescent="0.3">
      <c r="I494" t="s">
        <v>74</v>
      </c>
      <c r="J494">
        <v>191000</v>
      </c>
    </row>
    <row r="495" spans="9:10" x14ac:dyDescent="0.3">
      <c r="I495" t="s">
        <v>20</v>
      </c>
      <c r="J495">
        <v>900</v>
      </c>
    </row>
    <row r="496" spans="9:10" x14ac:dyDescent="0.3">
      <c r="I496" t="s">
        <v>20</v>
      </c>
      <c r="J496">
        <v>2500</v>
      </c>
    </row>
    <row r="497" spans="9:10" x14ac:dyDescent="0.3">
      <c r="I497" t="s">
        <v>20</v>
      </c>
      <c r="J497">
        <v>3200</v>
      </c>
    </row>
    <row r="498" spans="9:10" x14ac:dyDescent="0.3">
      <c r="I498" t="s">
        <v>14</v>
      </c>
      <c r="J498">
        <v>183800</v>
      </c>
    </row>
    <row r="499" spans="9:10" x14ac:dyDescent="0.3">
      <c r="I499" t="s">
        <v>14</v>
      </c>
      <c r="J499">
        <v>9800</v>
      </c>
    </row>
    <row r="500" spans="9:10" x14ac:dyDescent="0.3">
      <c r="I500" t="s">
        <v>14</v>
      </c>
      <c r="J500">
        <v>193400</v>
      </c>
    </row>
    <row r="501" spans="9:10" x14ac:dyDescent="0.3">
      <c r="I501" t="s">
        <v>14</v>
      </c>
      <c r="J501">
        <v>163800</v>
      </c>
    </row>
    <row r="502" spans="9:10" x14ac:dyDescent="0.3">
      <c r="I502" t="s">
        <v>14</v>
      </c>
      <c r="J502">
        <v>100</v>
      </c>
    </row>
    <row r="503" spans="9:10" x14ac:dyDescent="0.3">
      <c r="I503" t="s">
        <v>14</v>
      </c>
      <c r="J503">
        <v>153600</v>
      </c>
    </row>
    <row r="504" spans="9:10" x14ac:dyDescent="0.3">
      <c r="I504" t="s">
        <v>20</v>
      </c>
      <c r="J504">
        <v>1300</v>
      </c>
    </row>
    <row r="505" spans="9:10" x14ac:dyDescent="0.3">
      <c r="I505" t="s">
        <v>20</v>
      </c>
      <c r="J505">
        <v>25500</v>
      </c>
    </row>
    <row r="506" spans="9:10" x14ac:dyDescent="0.3">
      <c r="I506" t="s">
        <v>14</v>
      </c>
      <c r="J506">
        <v>7500</v>
      </c>
    </row>
    <row r="507" spans="9:10" x14ac:dyDescent="0.3">
      <c r="I507" t="s">
        <v>14</v>
      </c>
      <c r="J507">
        <v>89900</v>
      </c>
    </row>
    <row r="508" spans="9:10" x14ac:dyDescent="0.3">
      <c r="I508" t="s">
        <v>20</v>
      </c>
      <c r="J508">
        <v>18000</v>
      </c>
    </row>
    <row r="509" spans="9:10" x14ac:dyDescent="0.3">
      <c r="I509" t="s">
        <v>14</v>
      </c>
      <c r="J509">
        <v>2100</v>
      </c>
    </row>
    <row r="510" spans="9:10" x14ac:dyDescent="0.3">
      <c r="I510" t="s">
        <v>20</v>
      </c>
      <c r="J510">
        <v>172700</v>
      </c>
    </row>
    <row r="511" spans="9:10" x14ac:dyDescent="0.3">
      <c r="I511" t="s">
        <v>14</v>
      </c>
      <c r="J511">
        <v>168500</v>
      </c>
    </row>
    <row r="512" spans="9:10" x14ac:dyDescent="0.3">
      <c r="I512" t="s">
        <v>20</v>
      </c>
      <c r="J512">
        <v>7800</v>
      </c>
    </row>
    <row r="513" spans="9:10" x14ac:dyDescent="0.3">
      <c r="I513" t="s">
        <v>14</v>
      </c>
      <c r="J513">
        <v>147800</v>
      </c>
    </row>
    <row r="514" spans="9:10" x14ac:dyDescent="0.3">
      <c r="I514" t="s">
        <v>20</v>
      </c>
      <c r="J514">
        <v>9100</v>
      </c>
    </row>
    <row r="515" spans="9:10" x14ac:dyDescent="0.3">
      <c r="I515" t="s">
        <v>74</v>
      </c>
      <c r="J515">
        <v>8300</v>
      </c>
    </row>
    <row r="516" spans="9:10" x14ac:dyDescent="0.3">
      <c r="I516" t="s">
        <v>74</v>
      </c>
      <c r="J516">
        <v>138700</v>
      </c>
    </row>
    <row r="517" spans="9:10" x14ac:dyDescent="0.3">
      <c r="I517" t="s">
        <v>14</v>
      </c>
      <c r="J517">
        <v>8600</v>
      </c>
    </row>
    <row r="518" spans="9:10" x14ac:dyDescent="0.3">
      <c r="I518" t="s">
        <v>14</v>
      </c>
      <c r="J518">
        <v>125400</v>
      </c>
    </row>
    <row r="519" spans="9:10" x14ac:dyDescent="0.3">
      <c r="I519" t="s">
        <v>20</v>
      </c>
      <c r="J519">
        <v>5900</v>
      </c>
    </row>
    <row r="520" spans="9:10" x14ac:dyDescent="0.3">
      <c r="I520" t="s">
        <v>14</v>
      </c>
      <c r="J520">
        <v>8800</v>
      </c>
    </row>
    <row r="521" spans="9:10" x14ac:dyDescent="0.3">
      <c r="I521" t="s">
        <v>20</v>
      </c>
      <c r="J521">
        <v>177700</v>
      </c>
    </row>
    <row r="522" spans="9:10" x14ac:dyDescent="0.3">
      <c r="I522" t="s">
        <v>20</v>
      </c>
      <c r="J522">
        <v>800</v>
      </c>
    </row>
    <row r="523" spans="9:10" x14ac:dyDescent="0.3">
      <c r="I523" t="s">
        <v>20</v>
      </c>
      <c r="J523">
        <v>7600</v>
      </c>
    </row>
    <row r="524" spans="9:10" x14ac:dyDescent="0.3">
      <c r="I524" t="s">
        <v>14</v>
      </c>
      <c r="J524">
        <v>50500</v>
      </c>
    </row>
    <row r="525" spans="9:10" x14ac:dyDescent="0.3">
      <c r="I525" t="s">
        <v>20</v>
      </c>
      <c r="J525">
        <v>900</v>
      </c>
    </row>
    <row r="526" spans="9:10" x14ac:dyDescent="0.3">
      <c r="I526" t="s">
        <v>14</v>
      </c>
      <c r="J526">
        <v>96700</v>
      </c>
    </row>
    <row r="527" spans="9:10" x14ac:dyDescent="0.3">
      <c r="I527" t="s">
        <v>14</v>
      </c>
      <c r="J527">
        <v>2100</v>
      </c>
    </row>
    <row r="528" spans="9:10" x14ac:dyDescent="0.3">
      <c r="I528" t="s">
        <v>20</v>
      </c>
      <c r="J528">
        <v>8300</v>
      </c>
    </row>
    <row r="529" spans="9:10" x14ac:dyDescent="0.3">
      <c r="I529" t="s">
        <v>14</v>
      </c>
      <c r="J529">
        <v>189200</v>
      </c>
    </row>
    <row r="530" spans="9:10" x14ac:dyDescent="0.3">
      <c r="I530" t="s">
        <v>14</v>
      </c>
      <c r="J530">
        <v>9000</v>
      </c>
    </row>
    <row r="531" spans="9:10" x14ac:dyDescent="0.3">
      <c r="I531" t="s">
        <v>14</v>
      </c>
      <c r="J531">
        <v>5100</v>
      </c>
    </row>
    <row r="532" spans="9:10" x14ac:dyDescent="0.3">
      <c r="I532" t="s">
        <v>14</v>
      </c>
      <c r="J532">
        <v>105000</v>
      </c>
    </row>
    <row r="533" spans="9:10" x14ac:dyDescent="0.3">
      <c r="I533" t="s">
        <v>47</v>
      </c>
      <c r="J533">
        <v>186700</v>
      </c>
    </row>
    <row r="534" spans="9:10" x14ac:dyDescent="0.3">
      <c r="I534" t="s">
        <v>20</v>
      </c>
      <c r="J534">
        <v>1600</v>
      </c>
    </row>
    <row r="535" spans="9:10" x14ac:dyDescent="0.3">
      <c r="I535" t="s">
        <v>20</v>
      </c>
      <c r="J535">
        <v>115600</v>
      </c>
    </row>
    <row r="536" spans="9:10" x14ac:dyDescent="0.3">
      <c r="I536" t="s">
        <v>14</v>
      </c>
      <c r="J536">
        <v>89100</v>
      </c>
    </row>
    <row r="537" spans="9:10" x14ac:dyDescent="0.3">
      <c r="I537" t="s">
        <v>20</v>
      </c>
      <c r="J537">
        <v>2600</v>
      </c>
    </row>
    <row r="538" spans="9:10" x14ac:dyDescent="0.3">
      <c r="I538" t="s">
        <v>20</v>
      </c>
      <c r="J538">
        <v>9800</v>
      </c>
    </row>
    <row r="539" spans="9:10" x14ac:dyDescent="0.3">
      <c r="I539" t="s">
        <v>20</v>
      </c>
      <c r="J539">
        <v>84400</v>
      </c>
    </row>
    <row r="540" spans="9:10" x14ac:dyDescent="0.3">
      <c r="I540" t="s">
        <v>14</v>
      </c>
      <c r="J540">
        <v>151300</v>
      </c>
    </row>
    <row r="541" spans="9:10" x14ac:dyDescent="0.3">
      <c r="I541" t="s">
        <v>14</v>
      </c>
      <c r="J541">
        <v>9800</v>
      </c>
    </row>
    <row r="542" spans="9:10" x14ac:dyDescent="0.3">
      <c r="I542" t="s">
        <v>20</v>
      </c>
      <c r="J542">
        <v>5300</v>
      </c>
    </row>
    <row r="543" spans="9:10" x14ac:dyDescent="0.3">
      <c r="I543" t="s">
        <v>14</v>
      </c>
      <c r="J543">
        <v>178000</v>
      </c>
    </row>
    <row r="544" spans="9:10" x14ac:dyDescent="0.3">
      <c r="I544" t="s">
        <v>14</v>
      </c>
      <c r="J544">
        <v>77000</v>
      </c>
    </row>
    <row r="545" spans="9:10" x14ac:dyDescent="0.3">
      <c r="I545" t="s">
        <v>14</v>
      </c>
      <c r="J545">
        <v>84900</v>
      </c>
    </row>
    <row r="546" spans="9:10" x14ac:dyDescent="0.3">
      <c r="I546" t="s">
        <v>20</v>
      </c>
      <c r="J546">
        <v>2800</v>
      </c>
    </row>
    <row r="547" spans="9:10" x14ac:dyDescent="0.3">
      <c r="I547" t="s">
        <v>14</v>
      </c>
      <c r="J547">
        <v>184800</v>
      </c>
    </row>
    <row r="548" spans="9:10" x14ac:dyDescent="0.3">
      <c r="I548" t="s">
        <v>20</v>
      </c>
      <c r="J548">
        <v>4200</v>
      </c>
    </row>
    <row r="549" spans="9:10" x14ac:dyDescent="0.3">
      <c r="I549" t="s">
        <v>20</v>
      </c>
      <c r="J549">
        <v>1300</v>
      </c>
    </row>
    <row r="550" spans="9:10" x14ac:dyDescent="0.3">
      <c r="I550" t="s">
        <v>20</v>
      </c>
      <c r="J550">
        <v>66100</v>
      </c>
    </row>
    <row r="551" spans="9:10" x14ac:dyDescent="0.3">
      <c r="I551" t="s">
        <v>20</v>
      </c>
      <c r="J551">
        <v>29500</v>
      </c>
    </row>
    <row r="552" spans="9:10" x14ac:dyDescent="0.3">
      <c r="I552" t="s">
        <v>74</v>
      </c>
      <c r="J552">
        <v>100</v>
      </c>
    </row>
    <row r="553" spans="9:10" x14ac:dyDescent="0.3">
      <c r="I553" t="s">
        <v>14</v>
      </c>
      <c r="J553">
        <v>180100</v>
      </c>
    </row>
    <row r="554" spans="9:10" x14ac:dyDescent="0.3">
      <c r="I554" t="s">
        <v>14</v>
      </c>
      <c r="J554">
        <v>9000</v>
      </c>
    </row>
    <row r="555" spans="9:10" x14ac:dyDescent="0.3">
      <c r="I555" t="s">
        <v>14</v>
      </c>
      <c r="J555">
        <v>170600</v>
      </c>
    </row>
    <row r="556" spans="9:10" x14ac:dyDescent="0.3">
      <c r="I556" t="s">
        <v>20</v>
      </c>
      <c r="J556">
        <v>9500</v>
      </c>
    </row>
    <row r="557" spans="9:10" x14ac:dyDescent="0.3">
      <c r="I557" t="s">
        <v>20</v>
      </c>
      <c r="J557">
        <v>6300</v>
      </c>
    </row>
    <row r="558" spans="9:10" x14ac:dyDescent="0.3">
      <c r="I558" t="s">
        <v>20</v>
      </c>
      <c r="J558">
        <v>5200</v>
      </c>
    </row>
    <row r="559" spans="9:10" x14ac:dyDescent="0.3">
      <c r="I559" t="s">
        <v>20</v>
      </c>
      <c r="J559">
        <v>6000</v>
      </c>
    </row>
    <row r="560" spans="9:10" x14ac:dyDescent="0.3">
      <c r="I560" t="s">
        <v>20</v>
      </c>
      <c r="J560">
        <v>5800</v>
      </c>
    </row>
    <row r="561" spans="9:10" x14ac:dyDescent="0.3">
      <c r="I561" t="s">
        <v>20</v>
      </c>
      <c r="J561">
        <v>105300</v>
      </c>
    </row>
    <row r="562" spans="9:10" x14ac:dyDescent="0.3">
      <c r="I562" t="s">
        <v>20</v>
      </c>
      <c r="J562">
        <v>20000</v>
      </c>
    </row>
    <row r="563" spans="9:10" x14ac:dyDescent="0.3">
      <c r="I563" t="s">
        <v>20</v>
      </c>
      <c r="J563">
        <v>3000</v>
      </c>
    </row>
    <row r="564" spans="9:10" x14ac:dyDescent="0.3">
      <c r="I564" t="s">
        <v>14</v>
      </c>
      <c r="J564">
        <v>9900</v>
      </c>
    </row>
    <row r="565" spans="9:10" x14ac:dyDescent="0.3">
      <c r="I565" t="s">
        <v>20</v>
      </c>
      <c r="J565">
        <v>3700</v>
      </c>
    </row>
    <row r="566" spans="9:10" x14ac:dyDescent="0.3">
      <c r="I566" t="s">
        <v>14</v>
      </c>
      <c r="J566">
        <v>168700</v>
      </c>
    </row>
    <row r="567" spans="9:10" x14ac:dyDescent="0.3">
      <c r="I567" t="s">
        <v>20</v>
      </c>
      <c r="J567">
        <v>94900</v>
      </c>
    </row>
    <row r="568" spans="9:10" x14ac:dyDescent="0.3">
      <c r="I568" t="s">
        <v>14</v>
      </c>
      <c r="J568">
        <v>9300</v>
      </c>
    </row>
    <row r="569" spans="9:10" x14ac:dyDescent="0.3">
      <c r="I569" t="s">
        <v>20</v>
      </c>
      <c r="J569">
        <v>6800</v>
      </c>
    </row>
    <row r="570" spans="9:10" x14ac:dyDescent="0.3">
      <c r="I570" t="s">
        <v>20</v>
      </c>
      <c r="J570">
        <v>72400</v>
      </c>
    </row>
    <row r="571" spans="9:10" x14ac:dyDescent="0.3">
      <c r="I571" t="s">
        <v>20</v>
      </c>
      <c r="J571">
        <v>20100</v>
      </c>
    </row>
    <row r="572" spans="9:10" x14ac:dyDescent="0.3">
      <c r="I572" t="s">
        <v>20</v>
      </c>
      <c r="J572">
        <v>31200</v>
      </c>
    </row>
    <row r="573" spans="9:10" x14ac:dyDescent="0.3">
      <c r="I573" t="s">
        <v>14</v>
      </c>
      <c r="J573">
        <v>3500</v>
      </c>
    </row>
    <row r="574" spans="9:10" x14ac:dyDescent="0.3">
      <c r="I574" t="s">
        <v>74</v>
      </c>
      <c r="J574">
        <v>9000</v>
      </c>
    </row>
    <row r="575" spans="9:10" x14ac:dyDescent="0.3">
      <c r="I575" t="s">
        <v>20</v>
      </c>
      <c r="J575">
        <v>6700</v>
      </c>
    </row>
    <row r="576" spans="9:10" x14ac:dyDescent="0.3">
      <c r="I576" t="s">
        <v>20</v>
      </c>
      <c r="J576">
        <v>2700</v>
      </c>
    </row>
    <row r="577" spans="9:10" x14ac:dyDescent="0.3">
      <c r="I577" t="s">
        <v>14</v>
      </c>
      <c r="J577">
        <v>83300</v>
      </c>
    </row>
    <row r="578" spans="9:10" x14ac:dyDescent="0.3">
      <c r="I578" t="s">
        <v>14</v>
      </c>
      <c r="J578">
        <v>9700</v>
      </c>
    </row>
    <row r="579" spans="9:10" x14ac:dyDescent="0.3">
      <c r="I579" t="s">
        <v>74</v>
      </c>
      <c r="J579">
        <v>8200</v>
      </c>
    </row>
    <row r="580" spans="9:10" x14ac:dyDescent="0.3">
      <c r="I580" t="s">
        <v>14</v>
      </c>
      <c r="J580">
        <v>96500</v>
      </c>
    </row>
    <row r="581" spans="9:10" x14ac:dyDescent="0.3">
      <c r="I581" t="s">
        <v>20</v>
      </c>
      <c r="J581">
        <v>6200</v>
      </c>
    </row>
    <row r="582" spans="9:10" x14ac:dyDescent="0.3">
      <c r="I582" t="s">
        <v>20</v>
      </c>
      <c r="J582">
        <v>43800</v>
      </c>
    </row>
    <row r="583" spans="9:10" x14ac:dyDescent="0.3">
      <c r="I583" t="s">
        <v>14</v>
      </c>
      <c r="J583">
        <v>6000</v>
      </c>
    </row>
    <row r="584" spans="9:10" x14ac:dyDescent="0.3">
      <c r="I584" t="s">
        <v>14</v>
      </c>
      <c r="J584">
        <v>8700</v>
      </c>
    </row>
    <row r="585" spans="9:10" x14ac:dyDescent="0.3">
      <c r="I585" t="s">
        <v>20</v>
      </c>
      <c r="J585">
        <v>18900</v>
      </c>
    </row>
    <row r="586" spans="9:10" x14ac:dyDescent="0.3">
      <c r="I586" t="s">
        <v>20</v>
      </c>
      <c r="J586">
        <v>86400</v>
      </c>
    </row>
    <row r="587" spans="9:10" x14ac:dyDescent="0.3">
      <c r="I587" t="s">
        <v>20</v>
      </c>
      <c r="J587">
        <v>8900</v>
      </c>
    </row>
    <row r="588" spans="9:10" x14ac:dyDescent="0.3">
      <c r="I588" t="s">
        <v>20</v>
      </c>
      <c r="J588">
        <v>700</v>
      </c>
    </row>
    <row r="589" spans="9:10" x14ac:dyDescent="0.3">
      <c r="I589" t="s">
        <v>14</v>
      </c>
      <c r="J589">
        <v>9400</v>
      </c>
    </row>
    <row r="590" spans="9:10" x14ac:dyDescent="0.3">
      <c r="I590" t="s">
        <v>14</v>
      </c>
      <c r="J590">
        <v>157600</v>
      </c>
    </row>
    <row r="591" spans="9:10" x14ac:dyDescent="0.3">
      <c r="I591" t="s">
        <v>14</v>
      </c>
      <c r="J591">
        <v>7900</v>
      </c>
    </row>
    <row r="592" spans="9:10" x14ac:dyDescent="0.3">
      <c r="I592" t="s">
        <v>14</v>
      </c>
      <c r="J592">
        <v>7100</v>
      </c>
    </row>
    <row r="593" spans="9:10" x14ac:dyDescent="0.3">
      <c r="I593" t="s">
        <v>20</v>
      </c>
      <c r="J593">
        <v>600</v>
      </c>
    </row>
    <row r="594" spans="9:10" x14ac:dyDescent="0.3">
      <c r="I594" t="s">
        <v>14</v>
      </c>
      <c r="J594">
        <v>156800</v>
      </c>
    </row>
    <row r="595" spans="9:10" x14ac:dyDescent="0.3">
      <c r="I595" t="s">
        <v>20</v>
      </c>
      <c r="J595">
        <v>121600</v>
      </c>
    </row>
    <row r="596" spans="9:10" x14ac:dyDescent="0.3">
      <c r="I596" t="s">
        <v>14</v>
      </c>
      <c r="J596">
        <v>157300</v>
      </c>
    </row>
    <row r="597" spans="9:10" x14ac:dyDescent="0.3">
      <c r="I597" t="s">
        <v>20</v>
      </c>
      <c r="J597">
        <v>70300</v>
      </c>
    </row>
    <row r="598" spans="9:10" x14ac:dyDescent="0.3">
      <c r="I598" t="s">
        <v>14</v>
      </c>
      <c r="J598">
        <v>7900</v>
      </c>
    </row>
    <row r="599" spans="9:10" x14ac:dyDescent="0.3">
      <c r="I599" t="s">
        <v>20</v>
      </c>
      <c r="J599">
        <v>73800</v>
      </c>
    </row>
    <row r="600" spans="9:10" x14ac:dyDescent="0.3">
      <c r="I600" t="s">
        <v>20</v>
      </c>
      <c r="J600">
        <v>108500</v>
      </c>
    </row>
    <row r="601" spans="9:10" x14ac:dyDescent="0.3">
      <c r="I601" t="s">
        <v>14</v>
      </c>
      <c r="J601">
        <v>140300</v>
      </c>
    </row>
    <row r="602" spans="9:10" x14ac:dyDescent="0.3">
      <c r="I602" t="s">
        <v>14</v>
      </c>
      <c r="J602">
        <v>100</v>
      </c>
    </row>
    <row r="603" spans="9:10" x14ac:dyDescent="0.3">
      <c r="I603" t="s">
        <v>20</v>
      </c>
      <c r="J603">
        <v>6300</v>
      </c>
    </row>
    <row r="604" spans="9:10" x14ac:dyDescent="0.3">
      <c r="I604" t="s">
        <v>20</v>
      </c>
      <c r="J604">
        <v>71100</v>
      </c>
    </row>
    <row r="605" spans="9:10" x14ac:dyDescent="0.3">
      <c r="I605" t="s">
        <v>20</v>
      </c>
      <c r="J605">
        <v>5300</v>
      </c>
    </row>
    <row r="606" spans="9:10" x14ac:dyDescent="0.3">
      <c r="I606" t="s">
        <v>20</v>
      </c>
      <c r="J606">
        <v>88700</v>
      </c>
    </row>
    <row r="607" spans="9:10" x14ac:dyDescent="0.3">
      <c r="I607" t="s">
        <v>20</v>
      </c>
      <c r="J607">
        <v>3300</v>
      </c>
    </row>
    <row r="608" spans="9:10" x14ac:dyDescent="0.3">
      <c r="I608" t="s">
        <v>20</v>
      </c>
      <c r="J608">
        <v>3400</v>
      </c>
    </row>
    <row r="609" spans="9:10" x14ac:dyDescent="0.3">
      <c r="I609" t="s">
        <v>20</v>
      </c>
      <c r="J609">
        <v>137600</v>
      </c>
    </row>
    <row r="610" spans="9:10" x14ac:dyDescent="0.3">
      <c r="I610" t="s">
        <v>20</v>
      </c>
      <c r="J610">
        <v>3900</v>
      </c>
    </row>
    <row r="611" spans="9:10" x14ac:dyDescent="0.3">
      <c r="I611" t="s">
        <v>20</v>
      </c>
      <c r="J611">
        <v>10000</v>
      </c>
    </row>
    <row r="612" spans="9:10" x14ac:dyDescent="0.3">
      <c r="I612" t="s">
        <v>20</v>
      </c>
      <c r="J612">
        <v>42800</v>
      </c>
    </row>
    <row r="613" spans="9:10" x14ac:dyDescent="0.3">
      <c r="I613" t="s">
        <v>74</v>
      </c>
      <c r="J613">
        <v>8200</v>
      </c>
    </row>
    <row r="614" spans="9:10" x14ac:dyDescent="0.3">
      <c r="I614" t="s">
        <v>20</v>
      </c>
      <c r="J614">
        <v>6200</v>
      </c>
    </row>
    <row r="615" spans="9:10" x14ac:dyDescent="0.3">
      <c r="I615" t="s">
        <v>20</v>
      </c>
      <c r="J615">
        <v>1100</v>
      </c>
    </row>
    <row r="616" spans="9:10" x14ac:dyDescent="0.3">
      <c r="I616" t="s">
        <v>20</v>
      </c>
      <c r="J616">
        <v>26500</v>
      </c>
    </row>
    <row r="617" spans="9:10" x14ac:dyDescent="0.3">
      <c r="I617" t="s">
        <v>20</v>
      </c>
      <c r="J617">
        <v>8500</v>
      </c>
    </row>
    <row r="618" spans="9:10" x14ac:dyDescent="0.3">
      <c r="I618" t="s">
        <v>20</v>
      </c>
      <c r="J618">
        <v>6400</v>
      </c>
    </row>
    <row r="619" spans="9:10" x14ac:dyDescent="0.3">
      <c r="I619" t="s">
        <v>20</v>
      </c>
      <c r="J619">
        <v>1400</v>
      </c>
    </row>
    <row r="620" spans="9:10" x14ac:dyDescent="0.3">
      <c r="I620" t="s">
        <v>14</v>
      </c>
      <c r="J620">
        <v>198600</v>
      </c>
    </row>
    <row r="621" spans="9:10" x14ac:dyDescent="0.3">
      <c r="I621" t="s">
        <v>14</v>
      </c>
      <c r="J621">
        <v>195900</v>
      </c>
    </row>
    <row r="622" spans="9:10" x14ac:dyDescent="0.3">
      <c r="I622" t="s">
        <v>20</v>
      </c>
      <c r="J622">
        <v>4300</v>
      </c>
    </row>
    <row r="623" spans="9:10" x14ac:dyDescent="0.3">
      <c r="I623" t="s">
        <v>20</v>
      </c>
      <c r="J623">
        <v>25600</v>
      </c>
    </row>
    <row r="624" spans="9:10" x14ac:dyDescent="0.3">
      <c r="I624" t="s">
        <v>14</v>
      </c>
      <c r="J624">
        <v>189000</v>
      </c>
    </row>
    <row r="625" spans="9:10" x14ac:dyDescent="0.3">
      <c r="I625" t="s">
        <v>20</v>
      </c>
      <c r="J625">
        <v>94300</v>
      </c>
    </row>
    <row r="626" spans="9:10" x14ac:dyDescent="0.3">
      <c r="I626" t="s">
        <v>20</v>
      </c>
      <c r="J626">
        <v>5100</v>
      </c>
    </row>
    <row r="627" spans="9:10" x14ac:dyDescent="0.3">
      <c r="I627" t="s">
        <v>14</v>
      </c>
      <c r="J627">
        <v>7500</v>
      </c>
    </row>
    <row r="628" spans="9:10" x14ac:dyDescent="0.3">
      <c r="I628" t="s">
        <v>20</v>
      </c>
      <c r="J628">
        <v>6400</v>
      </c>
    </row>
    <row r="629" spans="9:10" x14ac:dyDescent="0.3">
      <c r="I629" t="s">
        <v>20</v>
      </c>
      <c r="J629">
        <v>1600</v>
      </c>
    </row>
    <row r="630" spans="9:10" x14ac:dyDescent="0.3">
      <c r="I630" t="s">
        <v>20</v>
      </c>
      <c r="J630">
        <v>1900</v>
      </c>
    </row>
    <row r="631" spans="9:10" x14ac:dyDescent="0.3">
      <c r="I631" t="s">
        <v>14</v>
      </c>
      <c r="J631">
        <v>85900</v>
      </c>
    </row>
    <row r="632" spans="9:10" x14ac:dyDescent="0.3">
      <c r="I632" t="s">
        <v>74</v>
      </c>
      <c r="J632">
        <v>9500</v>
      </c>
    </row>
    <row r="633" spans="9:10" x14ac:dyDescent="0.3">
      <c r="I633" t="s">
        <v>20</v>
      </c>
      <c r="J633">
        <v>59200</v>
      </c>
    </row>
    <row r="634" spans="9:10" x14ac:dyDescent="0.3">
      <c r="I634" t="s">
        <v>47</v>
      </c>
      <c r="J634">
        <v>72100</v>
      </c>
    </row>
    <row r="635" spans="9:10" x14ac:dyDescent="0.3">
      <c r="I635" t="s">
        <v>14</v>
      </c>
      <c r="J635">
        <v>6700</v>
      </c>
    </row>
    <row r="636" spans="9:10" x14ac:dyDescent="0.3">
      <c r="I636" t="s">
        <v>74</v>
      </c>
      <c r="J636">
        <v>118200</v>
      </c>
    </row>
    <row r="637" spans="9:10" x14ac:dyDescent="0.3">
      <c r="I637" t="s">
        <v>20</v>
      </c>
      <c r="J637">
        <v>139000</v>
      </c>
    </row>
    <row r="638" spans="9:10" x14ac:dyDescent="0.3">
      <c r="I638" t="s">
        <v>14</v>
      </c>
      <c r="J638">
        <v>197700</v>
      </c>
    </row>
    <row r="639" spans="9:10" x14ac:dyDescent="0.3">
      <c r="I639" t="s">
        <v>14</v>
      </c>
      <c r="J639">
        <v>8500</v>
      </c>
    </row>
    <row r="640" spans="9:10" x14ac:dyDescent="0.3">
      <c r="I640" t="s">
        <v>14</v>
      </c>
      <c r="J640">
        <v>81600</v>
      </c>
    </row>
    <row r="641" spans="9:10" x14ac:dyDescent="0.3">
      <c r="I641" t="s">
        <v>47</v>
      </c>
      <c r="J641">
        <v>8600</v>
      </c>
    </row>
    <row r="642" spans="9:10" x14ac:dyDescent="0.3">
      <c r="I642" t="s">
        <v>14</v>
      </c>
      <c r="J642">
        <v>119800</v>
      </c>
    </row>
    <row r="643" spans="9:10" x14ac:dyDescent="0.3">
      <c r="I643" t="s">
        <v>20</v>
      </c>
      <c r="J643">
        <v>9400</v>
      </c>
    </row>
    <row r="644" spans="9:10" x14ac:dyDescent="0.3">
      <c r="I644" t="s">
        <v>20</v>
      </c>
      <c r="J644">
        <v>9200</v>
      </c>
    </row>
    <row r="645" spans="9:10" x14ac:dyDescent="0.3">
      <c r="I645" t="s">
        <v>20</v>
      </c>
      <c r="J645">
        <v>14900</v>
      </c>
    </row>
    <row r="646" spans="9:10" x14ac:dyDescent="0.3">
      <c r="I646" t="s">
        <v>14</v>
      </c>
      <c r="J646">
        <v>169400</v>
      </c>
    </row>
    <row r="647" spans="9:10" x14ac:dyDescent="0.3">
      <c r="I647" t="s">
        <v>14</v>
      </c>
      <c r="J647">
        <v>192100</v>
      </c>
    </row>
    <row r="648" spans="9:10" x14ac:dyDescent="0.3">
      <c r="I648" t="s">
        <v>14</v>
      </c>
      <c r="J648">
        <v>98700</v>
      </c>
    </row>
    <row r="649" spans="9:10" x14ac:dyDescent="0.3">
      <c r="I649" t="s">
        <v>14</v>
      </c>
      <c r="J649">
        <v>4500</v>
      </c>
    </row>
    <row r="650" spans="9:10" x14ac:dyDescent="0.3">
      <c r="I650" t="s">
        <v>74</v>
      </c>
      <c r="J650">
        <v>98600</v>
      </c>
    </row>
    <row r="651" spans="9:10" x14ac:dyDescent="0.3">
      <c r="I651" t="s">
        <v>14</v>
      </c>
      <c r="J651">
        <v>121700</v>
      </c>
    </row>
    <row r="652" spans="9:10" x14ac:dyDescent="0.3">
      <c r="I652" t="s">
        <v>14</v>
      </c>
      <c r="J652">
        <v>100</v>
      </c>
    </row>
    <row r="653" spans="9:10" x14ac:dyDescent="0.3">
      <c r="I653" t="s">
        <v>14</v>
      </c>
      <c r="J653">
        <v>196700</v>
      </c>
    </row>
    <row r="654" spans="9:10" x14ac:dyDescent="0.3">
      <c r="I654" t="s">
        <v>20</v>
      </c>
      <c r="J654">
        <v>10000</v>
      </c>
    </row>
    <row r="655" spans="9:10" x14ac:dyDescent="0.3">
      <c r="I655" t="s">
        <v>20</v>
      </c>
      <c r="J655">
        <v>600</v>
      </c>
    </row>
    <row r="656" spans="9:10" x14ac:dyDescent="0.3">
      <c r="I656" t="s">
        <v>20</v>
      </c>
      <c r="J656">
        <v>35000</v>
      </c>
    </row>
    <row r="657" spans="9:10" x14ac:dyDescent="0.3">
      <c r="I657" t="s">
        <v>20</v>
      </c>
      <c r="J657">
        <v>6900</v>
      </c>
    </row>
    <row r="658" spans="9:10" x14ac:dyDescent="0.3">
      <c r="I658" t="s">
        <v>14</v>
      </c>
      <c r="J658">
        <v>118400</v>
      </c>
    </row>
    <row r="659" spans="9:10" x14ac:dyDescent="0.3">
      <c r="I659" t="s">
        <v>14</v>
      </c>
      <c r="J659">
        <v>10000</v>
      </c>
    </row>
    <row r="660" spans="9:10" x14ac:dyDescent="0.3">
      <c r="I660" t="s">
        <v>74</v>
      </c>
      <c r="J660">
        <v>52600</v>
      </c>
    </row>
    <row r="661" spans="9:10" x14ac:dyDescent="0.3">
      <c r="I661" t="s">
        <v>14</v>
      </c>
      <c r="J661">
        <v>120700</v>
      </c>
    </row>
    <row r="662" spans="9:10" x14ac:dyDescent="0.3">
      <c r="I662" t="s">
        <v>14</v>
      </c>
      <c r="J662">
        <v>9100</v>
      </c>
    </row>
    <row r="663" spans="9:10" x14ac:dyDescent="0.3">
      <c r="I663" t="s">
        <v>14</v>
      </c>
      <c r="J663">
        <v>106800</v>
      </c>
    </row>
    <row r="664" spans="9:10" x14ac:dyDescent="0.3">
      <c r="I664" t="s">
        <v>14</v>
      </c>
      <c r="J664">
        <v>9100</v>
      </c>
    </row>
    <row r="665" spans="9:10" x14ac:dyDescent="0.3">
      <c r="I665" t="s">
        <v>14</v>
      </c>
      <c r="J665">
        <v>10000</v>
      </c>
    </row>
    <row r="666" spans="9:10" x14ac:dyDescent="0.3">
      <c r="I666" t="s">
        <v>14</v>
      </c>
      <c r="J666">
        <v>79400</v>
      </c>
    </row>
    <row r="667" spans="9:10" x14ac:dyDescent="0.3">
      <c r="I667" t="s">
        <v>20</v>
      </c>
      <c r="J667">
        <v>5100</v>
      </c>
    </row>
    <row r="668" spans="9:10" x14ac:dyDescent="0.3">
      <c r="I668" t="s">
        <v>74</v>
      </c>
      <c r="J668">
        <v>3100</v>
      </c>
    </row>
    <row r="669" spans="9:10" x14ac:dyDescent="0.3">
      <c r="I669" t="s">
        <v>20</v>
      </c>
      <c r="J669">
        <v>6900</v>
      </c>
    </row>
    <row r="670" spans="9:10" x14ac:dyDescent="0.3">
      <c r="I670" t="s">
        <v>14</v>
      </c>
      <c r="J670">
        <v>27500</v>
      </c>
    </row>
    <row r="671" spans="9:10" x14ac:dyDescent="0.3">
      <c r="I671" t="s">
        <v>20</v>
      </c>
      <c r="J671">
        <v>48800</v>
      </c>
    </row>
    <row r="672" spans="9:10" x14ac:dyDescent="0.3">
      <c r="I672" t="s">
        <v>20</v>
      </c>
      <c r="J672">
        <v>16200</v>
      </c>
    </row>
    <row r="673" spans="9:10" x14ac:dyDescent="0.3">
      <c r="I673" t="s">
        <v>20</v>
      </c>
      <c r="J673">
        <v>97600</v>
      </c>
    </row>
    <row r="674" spans="9:10" x14ac:dyDescent="0.3">
      <c r="I674" t="s">
        <v>14</v>
      </c>
      <c r="J674">
        <v>197900</v>
      </c>
    </row>
    <row r="675" spans="9:10" x14ac:dyDescent="0.3">
      <c r="I675" t="s">
        <v>14</v>
      </c>
      <c r="J675">
        <v>5600</v>
      </c>
    </row>
    <row r="676" spans="9:10" x14ac:dyDescent="0.3">
      <c r="I676" t="s">
        <v>74</v>
      </c>
      <c r="J676">
        <v>170700</v>
      </c>
    </row>
    <row r="677" spans="9:10" x14ac:dyDescent="0.3">
      <c r="I677" t="s">
        <v>20</v>
      </c>
      <c r="J677">
        <v>9700</v>
      </c>
    </row>
    <row r="678" spans="9:10" x14ac:dyDescent="0.3">
      <c r="I678" t="s">
        <v>20</v>
      </c>
      <c r="J678">
        <v>62300</v>
      </c>
    </row>
    <row r="679" spans="9:10" x14ac:dyDescent="0.3">
      <c r="I679" t="s">
        <v>14</v>
      </c>
      <c r="J679">
        <v>5300</v>
      </c>
    </row>
    <row r="680" spans="9:10" x14ac:dyDescent="0.3">
      <c r="I680" t="s">
        <v>74</v>
      </c>
      <c r="J680">
        <v>99500</v>
      </c>
    </row>
    <row r="681" spans="9:10" x14ac:dyDescent="0.3">
      <c r="I681" t="s">
        <v>20</v>
      </c>
      <c r="J681">
        <v>1400</v>
      </c>
    </row>
    <row r="682" spans="9:10" x14ac:dyDescent="0.3">
      <c r="I682" t="s">
        <v>14</v>
      </c>
      <c r="J682">
        <v>145600</v>
      </c>
    </row>
    <row r="683" spans="9:10" x14ac:dyDescent="0.3">
      <c r="I683" t="s">
        <v>14</v>
      </c>
      <c r="J683">
        <v>184100</v>
      </c>
    </row>
    <row r="684" spans="9:10" x14ac:dyDescent="0.3">
      <c r="I684" t="s">
        <v>20</v>
      </c>
      <c r="J684">
        <v>5400</v>
      </c>
    </row>
    <row r="685" spans="9:10" x14ac:dyDescent="0.3">
      <c r="I685" t="s">
        <v>20</v>
      </c>
      <c r="J685">
        <v>2300</v>
      </c>
    </row>
    <row r="686" spans="9:10" x14ac:dyDescent="0.3">
      <c r="I686" t="s">
        <v>20</v>
      </c>
      <c r="J686">
        <v>1400</v>
      </c>
    </row>
    <row r="687" spans="9:10" x14ac:dyDescent="0.3">
      <c r="I687" t="s">
        <v>14</v>
      </c>
      <c r="J687">
        <v>140000</v>
      </c>
    </row>
    <row r="688" spans="9:10" x14ac:dyDescent="0.3">
      <c r="I688" t="s">
        <v>20</v>
      </c>
      <c r="J688">
        <v>7500</v>
      </c>
    </row>
    <row r="689" spans="9:10" x14ac:dyDescent="0.3">
      <c r="I689" t="s">
        <v>20</v>
      </c>
      <c r="J689">
        <v>1500</v>
      </c>
    </row>
    <row r="690" spans="9:10" x14ac:dyDescent="0.3">
      <c r="I690" t="s">
        <v>20</v>
      </c>
      <c r="J690">
        <v>2900</v>
      </c>
    </row>
    <row r="691" spans="9:10" x14ac:dyDescent="0.3">
      <c r="I691" t="s">
        <v>20</v>
      </c>
      <c r="J691">
        <v>7300</v>
      </c>
    </row>
    <row r="692" spans="9:10" x14ac:dyDescent="0.3">
      <c r="I692" t="s">
        <v>20</v>
      </c>
      <c r="J692">
        <v>3600</v>
      </c>
    </row>
    <row r="693" spans="9:10" x14ac:dyDescent="0.3">
      <c r="I693" t="s">
        <v>20</v>
      </c>
      <c r="J693">
        <v>5000</v>
      </c>
    </row>
    <row r="694" spans="9:10" x14ac:dyDescent="0.3">
      <c r="I694" t="s">
        <v>14</v>
      </c>
      <c r="J694">
        <v>6000</v>
      </c>
    </row>
    <row r="695" spans="9:10" x14ac:dyDescent="0.3">
      <c r="I695" t="s">
        <v>14</v>
      </c>
      <c r="J695">
        <v>180400</v>
      </c>
    </row>
    <row r="696" spans="9:10" x14ac:dyDescent="0.3">
      <c r="I696" t="s">
        <v>14</v>
      </c>
      <c r="J696">
        <v>9100</v>
      </c>
    </row>
    <row r="697" spans="9:10" x14ac:dyDescent="0.3">
      <c r="I697" t="s">
        <v>20</v>
      </c>
      <c r="J697">
        <v>9200</v>
      </c>
    </row>
    <row r="698" spans="9:10" x14ac:dyDescent="0.3">
      <c r="I698" t="s">
        <v>14</v>
      </c>
      <c r="J698">
        <v>164100</v>
      </c>
    </row>
    <row r="699" spans="9:10" x14ac:dyDescent="0.3">
      <c r="I699" t="s">
        <v>20</v>
      </c>
      <c r="J699">
        <v>128900</v>
      </c>
    </row>
    <row r="700" spans="9:10" x14ac:dyDescent="0.3">
      <c r="I700" t="s">
        <v>20</v>
      </c>
      <c r="J700">
        <v>42100</v>
      </c>
    </row>
    <row r="701" spans="9:10" x14ac:dyDescent="0.3">
      <c r="I701" t="s">
        <v>14</v>
      </c>
      <c r="J701">
        <v>7400</v>
      </c>
    </row>
    <row r="702" spans="9:10" x14ac:dyDescent="0.3">
      <c r="I702" t="s">
        <v>14</v>
      </c>
      <c r="J702">
        <v>100</v>
      </c>
    </row>
    <row r="703" spans="9:10" x14ac:dyDescent="0.3">
      <c r="I703" t="s">
        <v>20</v>
      </c>
      <c r="J703">
        <v>52000</v>
      </c>
    </row>
    <row r="704" spans="9:10" x14ac:dyDescent="0.3">
      <c r="I704" t="s">
        <v>14</v>
      </c>
      <c r="J704">
        <v>8700</v>
      </c>
    </row>
    <row r="705" spans="9:10" x14ac:dyDescent="0.3">
      <c r="I705" t="s">
        <v>20</v>
      </c>
      <c r="J705">
        <v>63400</v>
      </c>
    </row>
    <row r="706" spans="9:10" x14ac:dyDescent="0.3">
      <c r="I706" t="s">
        <v>20</v>
      </c>
      <c r="J706">
        <v>8700</v>
      </c>
    </row>
    <row r="707" spans="9:10" x14ac:dyDescent="0.3">
      <c r="I707" t="s">
        <v>14</v>
      </c>
      <c r="J707">
        <v>169700</v>
      </c>
    </row>
    <row r="708" spans="9:10" x14ac:dyDescent="0.3">
      <c r="I708" t="s">
        <v>20</v>
      </c>
      <c r="J708">
        <v>108400</v>
      </c>
    </row>
    <row r="709" spans="9:10" x14ac:dyDescent="0.3">
      <c r="I709" t="s">
        <v>20</v>
      </c>
      <c r="J709">
        <v>7300</v>
      </c>
    </row>
    <row r="710" spans="9:10" x14ac:dyDescent="0.3">
      <c r="I710" t="s">
        <v>20</v>
      </c>
      <c r="J710">
        <v>1700</v>
      </c>
    </row>
    <row r="711" spans="9:10" x14ac:dyDescent="0.3">
      <c r="I711" t="s">
        <v>20</v>
      </c>
      <c r="J711">
        <v>9800</v>
      </c>
    </row>
    <row r="712" spans="9:10" x14ac:dyDescent="0.3">
      <c r="I712" t="s">
        <v>20</v>
      </c>
      <c r="J712">
        <v>4300</v>
      </c>
    </row>
    <row r="713" spans="9:10" x14ac:dyDescent="0.3">
      <c r="I713" t="s">
        <v>14</v>
      </c>
      <c r="J713">
        <v>6200</v>
      </c>
    </row>
    <row r="714" spans="9:10" x14ac:dyDescent="0.3">
      <c r="I714" t="s">
        <v>20</v>
      </c>
      <c r="J714">
        <v>800</v>
      </c>
    </row>
    <row r="715" spans="9:10" x14ac:dyDescent="0.3">
      <c r="I715" t="s">
        <v>20</v>
      </c>
      <c r="J715">
        <v>6900</v>
      </c>
    </row>
    <row r="716" spans="9:10" x14ac:dyDescent="0.3">
      <c r="I716" t="s">
        <v>20</v>
      </c>
      <c r="J716">
        <v>38500</v>
      </c>
    </row>
    <row r="717" spans="9:10" x14ac:dyDescent="0.3">
      <c r="I717" t="s">
        <v>14</v>
      </c>
      <c r="J717">
        <v>118000</v>
      </c>
    </row>
    <row r="718" spans="9:10" x14ac:dyDescent="0.3">
      <c r="I718" t="s">
        <v>20</v>
      </c>
      <c r="J718">
        <v>2000</v>
      </c>
    </row>
    <row r="719" spans="9:10" x14ac:dyDescent="0.3">
      <c r="I719" t="s">
        <v>20</v>
      </c>
      <c r="J719">
        <v>5600</v>
      </c>
    </row>
    <row r="720" spans="9:10" x14ac:dyDescent="0.3">
      <c r="I720" t="s">
        <v>20</v>
      </c>
      <c r="J720">
        <v>8300</v>
      </c>
    </row>
    <row r="721" spans="9:10" x14ac:dyDescent="0.3">
      <c r="I721" t="s">
        <v>20</v>
      </c>
      <c r="J721">
        <v>6900</v>
      </c>
    </row>
    <row r="722" spans="9:10" x14ac:dyDescent="0.3">
      <c r="I722" t="s">
        <v>74</v>
      </c>
      <c r="J722">
        <v>8700</v>
      </c>
    </row>
    <row r="723" spans="9:10" x14ac:dyDescent="0.3">
      <c r="I723" t="s">
        <v>74</v>
      </c>
      <c r="J723">
        <v>123600</v>
      </c>
    </row>
    <row r="724" spans="9:10" x14ac:dyDescent="0.3">
      <c r="I724" t="s">
        <v>20</v>
      </c>
      <c r="J724">
        <v>48500</v>
      </c>
    </row>
    <row r="725" spans="9:10" x14ac:dyDescent="0.3">
      <c r="I725" t="s">
        <v>20</v>
      </c>
      <c r="J725">
        <v>4900</v>
      </c>
    </row>
    <row r="726" spans="9:10" x14ac:dyDescent="0.3">
      <c r="I726" t="s">
        <v>20</v>
      </c>
      <c r="J726">
        <v>8400</v>
      </c>
    </row>
    <row r="727" spans="9:10" x14ac:dyDescent="0.3">
      <c r="I727" t="s">
        <v>14</v>
      </c>
      <c r="J727">
        <v>193200</v>
      </c>
    </row>
    <row r="728" spans="9:10" x14ac:dyDescent="0.3">
      <c r="I728" t="s">
        <v>74</v>
      </c>
      <c r="J728">
        <v>54300</v>
      </c>
    </row>
    <row r="729" spans="9:10" x14ac:dyDescent="0.3">
      <c r="I729" t="s">
        <v>20</v>
      </c>
      <c r="J729">
        <v>8900</v>
      </c>
    </row>
    <row r="730" spans="9:10" x14ac:dyDescent="0.3">
      <c r="I730" t="s">
        <v>14</v>
      </c>
      <c r="J730">
        <v>4200</v>
      </c>
    </row>
    <row r="731" spans="9:10" x14ac:dyDescent="0.3">
      <c r="I731" t="s">
        <v>20</v>
      </c>
      <c r="J731">
        <v>5600</v>
      </c>
    </row>
    <row r="732" spans="9:10" x14ac:dyDescent="0.3">
      <c r="I732" t="s">
        <v>20</v>
      </c>
      <c r="J732">
        <v>28800</v>
      </c>
    </row>
    <row r="733" spans="9:10" x14ac:dyDescent="0.3">
      <c r="I733" t="s">
        <v>74</v>
      </c>
      <c r="J733">
        <v>8000</v>
      </c>
    </row>
    <row r="734" spans="9:10" x14ac:dyDescent="0.3">
      <c r="I734" t="s">
        <v>14</v>
      </c>
      <c r="J734">
        <v>117000</v>
      </c>
    </row>
    <row r="735" spans="9:10" x14ac:dyDescent="0.3">
      <c r="I735" t="s">
        <v>20</v>
      </c>
      <c r="J735">
        <v>15800</v>
      </c>
    </row>
    <row r="736" spans="9:10" x14ac:dyDescent="0.3">
      <c r="I736" t="s">
        <v>20</v>
      </c>
      <c r="J736">
        <v>4200</v>
      </c>
    </row>
    <row r="737" spans="9:10" x14ac:dyDescent="0.3">
      <c r="I737" t="s">
        <v>20</v>
      </c>
      <c r="J737">
        <v>37100</v>
      </c>
    </row>
    <row r="738" spans="9:10" x14ac:dyDescent="0.3">
      <c r="I738" t="s">
        <v>74</v>
      </c>
      <c r="J738">
        <v>7700</v>
      </c>
    </row>
    <row r="739" spans="9:10" x14ac:dyDescent="0.3">
      <c r="I739" t="s">
        <v>20</v>
      </c>
      <c r="J739">
        <v>3700</v>
      </c>
    </row>
    <row r="740" spans="9:10" x14ac:dyDescent="0.3">
      <c r="I740" t="s">
        <v>14</v>
      </c>
      <c r="J740">
        <v>74700</v>
      </c>
    </row>
    <row r="741" spans="9:10" x14ac:dyDescent="0.3">
      <c r="I741" t="s">
        <v>14</v>
      </c>
      <c r="J741">
        <v>10000</v>
      </c>
    </row>
    <row r="742" spans="9:10" x14ac:dyDescent="0.3">
      <c r="I742" t="s">
        <v>14</v>
      </c>
      <c r="J742">
        <v>5300</v>
      </c>
    </row>
    <row r="743" spans="9:10" x14ac:dyDescent="0.3">
      <c r="I743" t="s">
        <v>20</v>
      </c>
      <c r="J743">
        <v>1200</v>
      </c>
    </row>
    <row r="744" spans="9:10" x14ac:dyDescent="0.3">
      <c r="I744" t="s">
        <v>20</v>
      </c>
      <c r="J744">
        <v>1200</v>
      </c>
    </row>
    <row r="745" spans="9:10" x14ac:dyDescent="0.3">
      <c r="I745" t="s">
        <v>14</v>
      </c>
      <c r="J745">
        <v>3900</v>
      </c>
    </row>
    <row r="746" spans="9:10" x14ac:dyDescent="0.3">
      <c r="I746" t="s">
        <v>20</v>
      </c>
      <c r="J746">
        <v>2000</v>
      </c>
    </row>
    <row r="747" spans="9:10" x14ac:dyDescent="0.3">
      <c r="I747" t="s">
        <v>14</v>
      </c>
      <c r="J747">
        <v>6900</v>
      </c>
    </row>
    <row r="748" spans="9:10" x14ac:dyDescent="0.3">
      <c r="I748" t="s">
        <v>20</v>
      </c>
      <c r="J748">
        <v>55800</v>
      </c>
    </row>
    <row r="749" spans="9:10" x14ac:dyDescent="0.3">
      <c r="I749" t="s">
        <v>20</v>
      </c>
      <c r="J749">
        <v>4900</v>
      </c>
    </row>
    <row r="750" spans="9:10" x14ac:dyDescent="0.3">
      <c r="I750" t="s">
        <v>74</v>
      </c>
      <c r="J750">
        <v>194900</v>
      </c>
    </row>
    <row r="751" spans="9:10" x14ac:dyDescent="0.3">
      <c r="I751" t="s">
        <v>20</v>
      </c>
      <c r="J751">
        <v>8600</v>
      </c>
    </row>
    <row r="752" spans="9:10" x14ac:dyDescent="0.3">
      <c r="I752" t="s">
        <v>14</v>
      </c>
      <c r="J752">
        <v>100</v>
      </c>
    </row>
    <row r="753" spans="9:10" x14ac:dyDescent="0.3">
      <c r="I753" t="s">
        <v>20</v>
      </c>
      <c r="J753">
        <v>3600</v>
      </c>
    </row>
    <row r="754" spans="9:10" x14ac:dyDescent="0.3">
      <c r="I754" t="s">
        <v>74</v>
      </c>
      <c r="J754">
        <v>5800</v>
      </c>
    </row>
    <row r="755" spans="9:10" x14ac:dyDescent="0.3">
      <c r="I755" t="s">
        <v>20</v>
      </c>
      <c r="J755">
        <v>4700</v>
      </c>
    </row>
    <row r="756" spans="9:10" x14ac:dyDescent="0.3">
      <c r="I756" t="s">
        <v>20</v>
      </c>
      <c r="J756">
        <v>70400</v>
      </c>
    </row>
    <row r="757" spans="9:10" x14ac:dyDescent="0.3">
      <c r="I757" t="s">
        <v>20</v>
      </c>
      <c r="J757">
        <v>4500</v>
      </c>
    </row>
    <row r="758" spans="9:10" x14ac:dyDescent="0.3">
      <c r="I758" t="s">
        <v>20</v>
      </c>
      <c r="J758">
        <v>1300</v>
      </c>
    </row>
    <row r="759" spans="9:10" x14ac:dyDescent="0.3">
      <c r="I759" t="s">
        <v>20</v>
      </c>
      <c r="J759">
        <v>1400</v>
      </c>
    </row>
    <row r="760" spans="9:10" x14ac:dyDescent="0.3">
      <c r="I760" t="s">
        <v>20</v>
      </c>
      <c r="J760">
        <v>29600</v>
      </c>
    </row>
    <row r="761" spans="9:10" x14ac:dyDescent="0.3">
      <c r="I761" t="s">
        <v>14</v>
      </c>
      <c r="J761">
        <v>167500</v>
      </c>
    </row>
    <row r="762" spans="9:10" x14ac:dyDescent="0.3">
      <c r="I762" t="s">
        <v>14</v>
      </c>
      <c r="J762">
        <v>48300</v>
      </c>
    </row>
    <row r="763" spans="9:10" x14ac:dyDescent="0.3">
      <c r="I763" t="s">
        <v>20</v>
      </c>
      <c r="J763">
        <v>2200</v>
      </c>
    </row>
    <row r="764" spans="9:10" x14ac:dyDescent="0.3">
      <c r="I764" t="s">
        <v>20</v>
      </c>
      <c r="J764">
        <v>3500</v>
      </c>
    </row>
    <row r="765" spans="9:10" x14ac:dyDescent="0.3">
      <c r="I765" t="s">
        <v>20</v>
      </c>
      <c r="J765">
        <v>5600</v>
      </c>
    </row>
    <row r="766" spans="9:10" x14ac:dyDescent="0.3">
      <c r="I766" t="s">
        <v>20</v>
      </c>
      <c r="J766">
        <v>1100</v>
      </c>
    </row>
    <row r="767" spans="9:10" x14ac:dyDescent="0.3">
      <c r="I767" t="s">
        <v>20</v>
      </c>
      <c r="J767">
        <v>3900</v>
      </c>
    </row>
    <row r="768" spans="9:10" x14ac:dyDescent="0.3">
      <c r="I768" t="s">
        <v>14</v>
      </c>
      <c r="J768">
        <v>43800</v>
      </c>
    </row>
    <row r="769" spans="9:10" x14ac:dyDescent="0.3">
      <c r="I769" t="s">
        <v>14</v>
      </c>
      <c r="J769">
        <v>97200</v>
      </c>
    </row>
    <row r="770" spans="9:10" x14ac:dyDescent="0.3">
      <c r="I770" t="s">
        <v>20</v>
      </c>
      <c r="J770">
        <v>4800</v>
      </c>
    </row>
    <row r="771" spans="9:10" x14ac:dyDescent="0.3">
      <c r="I771" t="s">
        <v>14</v>
      </c>
      <c r="J771">
        <v>125600</v>
      </c>
    </row>
    <row r="772" spans="9:10" x14ac:dyDescent="0.3">
      <c r="I772" t="s">
        <v>20</v>
      </c>
      <c r="J772">
        <v>4300</v>
      </c>
    </row>
    <row r="773" spans="9:10" x14ac:dyDescent="0.3">
      <c r="I773" t="s">
        <v>74</v>
      </c>
      <c r="J773">
        <v>5600</v>
      </c>
    </row>
    <row r="774" spans="9:10" x14ac:dyDescent="0.3">
      <c r="I774" t="s">
        <v>20</v>
      </c>
      <c r="J774">
        <v>149600</v>
      </c>
    </row>
    <row r="775" spans="9:10" x14ac:dyDescent="0.3">
      <c r="I775" t="s">
        <v>20</v>
      </c>
      <c r="J775">
        <v>53100</v>
      </c>
    </row>
    <row r="776" spans="9:10" x14ac:dyDescent="0.3">
      <c r="I776" t="s">
        <v>20</v>
      </c>
      <c r="J776">
        <v>5000</v>
      </c>
    </row>
    <row r="777" spans="9:10" x14ac:dyDescent="0.3">
      <c r="I777" t="s">
        <v>14</v>
      </c>
      <c r="J777">
        <v>9400</v>
      </c>
    </row>
    <row r="778" spans="9:10" x14ac:dyDescent="0.3">
      <c r="I778" t="s">
        <v>14</v>
      </c>
      <c r="J778">
        <v>110800</v>
      </c>
    </row>
    <row r="779" spans="9:10" x14ac:dyDescent="0.3">
      <c r="I779" t="s">
        <v>14</v>
      </c>
      <c r="J779">
        <v>93800</v>
      </c>
    </row>
    <row r="780" spans="9:10" x14ac:dyDescent="0.3">
      <c r="I780" t="s">
        <v>20</v>
      </c>
      <c r="J780">
        <v>1300</v>
      </c>
    </row>
    <row r="781" spans="9:10" x14ac:dyDescent="0.3">
      <c r="I781" t="s">
        <v>14</v>
      </c>
      <c r="J781">
        <v>108700</v>
      </c>
    </row>
    <row r="782" spans="9:10" x14ac:dyDescent="0.3">
      <c r="I782" t="s">
        <v>20</v>
      </c>
      <c r="J782">
        <v>5100</v>
      </c>
    </row>
    <row r="783" spans="9:10" x14ac:dyDescent="0.3">
      <c r="I783" t="s">
        <v>74</v>
      </c>
      <c r="J783">
        <v>8700</v>
      </c>
    </row>
    <row r="784" spans="9:10" x14ac:dyDescent="0.3">
      <c r="I784" t="s">
        <v>20</v>
      </c>
      <c r="J784">
        <v>5100</v>
      </c>
    </row>
    <row r="785" spans="9:10" x14ac:dyDescent="0.3">
      <c r="I785" t="s">
        <v>20</v>
      </c>
      <c r="J785">
        <v>7400</v>
      </c>
    </row>
    <row r="786" spans="9:10" x14ac:dyDescent="0.3">
      <c r="I786" t="s">
        <v>20</v>
      </c>
      <c r="J786">
        <v>88900</v>
      </c>
    </row>
    <row r="787" spans="9:10" x14ac:dyDescent="0.3">
      <c r="I787" t="s">
        <v>20</v>
      </c>
      <c r="J787">
        <v>6700</v>
      </c>
    </row>
    <row r="788" spans="9:10" x14ac:dyDescent="0.3">
      <c r="I788" t="s">
        <v>20</v>
      </c>
      <c r="J788">
        <v>1500</v>
      </c>
    </row>
    <row r="789" spans="9:10" x14ac:dyDescent="0.3">
      <c r="I789" t="s">
        <v>14</v>
      </c>
      <c r="J789">
        <v>61200</v>
      </c>
    </row>
    <row r="790" spans="9:10" x14ac:dyDescent="0.3">
      <c r="I790" t="s">
        <v>47</v>
      </c>
      <c r="J790">
        <v>3600</v>
      </c>
    </row>
    <row r="791" spans="9:10" x14ac:dyDescent="0.3">
      <c r="I791" t="s">
        <v>14</v>
      </c>
      <c r="J791">
        <v>9000</v>
      </c>
    </row>
    <row r="792" spans="9:10" x14ac:dyDescent="0.3">
      <c r="I792" t="s">
        <v>74</v>
      </c>
      <c r="J792">
        <v>185900</v>
      </c>
    </row>
    <row r="793" spans="9:10" x14ac:dyDescent="0.3">
      <c r="I793" t="s">
        <v>14</v>
      </c>
      <c r="J793">
        <v>2100</v>
      </c>
    </row>
    <row r="794" spans="9:10" x14ac:dyDescent="0.3">
      <c r="I794" t="s">
        <v>14</v>
      </c>
      <c r="J794">
        <v>2000</v>
      </c>
    </row>
    <row r="795" spans="9:10" x14ac:dyDescent="0.3">
      <c r="I795" t="s">
        <v>20</v>
      </c>
      <c r="J795">
        <v>1100</v>
      </c>
    </row>
    <row r="796" spans="9:10" x14ac:dyDescent="0.3">
      <c r="I796" t="s">
        <v>20</v>
      </c>
      <c r="J796">
        <v>6600</v>
      </c>
    </row>
    <row r="797" spans="9:10" x14ac:dyDescent="0.3">
      <c r="I797" t="s">
        <v>14</v>
      </c>
      <c r="J797">
        <v>7100</v>
      </c>
    </row>
    <row r="798" spans="9:10" x14ac:dyDescent="0.3">
      <c r="I798" t="s">
        <v>14</v>
      </c>
      <c r="J798">
        <v>7800</v>
      </c>
    </row>
    <row r="799" spans="9:10" x14ac:dyDescent="0.3">
      <c r="I799" t="s">
        <v>20</v>
      </c>
      <c r="J799">
        <v>7600</v>
      </c>
    </row>
    <row r="800" spans="9:10" x14ac:dyDescent="0.3">
      <c r="I800" t="s">
        <v>20</v>
      </c>
      <c r="J800">
        <v>3400</v>
      </c>
    </row>
    <row r="801" spans="9:10" x14ac:dyDescent="0.3">
      <c r="I801" t="s">
        <v>14</v>
      </c>
      <c r="J801">
        <v>84500</v>
      </c>
    </row>
    <row r="802" spans="9:10" x14ac:dyDescent="0.3">
      <c r="I802" t="s">
        <v>14</v>
      </c>
      <c r="J802">
        <v>100</v>
      </c>
    </row>
    <row r="803" spans="9:10" x14ac:dyDescent="0.3">
      <c r="I803" t="s">
        <v>20</v>
      </c>
      <c r="J803">
        <v>2300</v>
      </c>
    </row>
    <row r="804" spans="9:10" x14ac:dyDescent="0.3">
      <c r="I804" t="s">
        <v>20</v>
      </c>
      <c r="J804">
        <v>6200</v>
      </c>
    </row>
    <row r="805" spans="9:10" x14ac:dyDescent="0.3">
      <c r="I805" t="s">
        <v>20</v>
      </c>
      <c r="J805">
        <v>6100</v>
      </c>
    </row>
    <row r="806" spans="9:10" x14ac:dyDescent="0.3">
      <c r="I806" t="s">
        <v>20</v>
      </c>
      <c r="J806">
        <v>2600</v>
      </c>
    </row>
    <row r="807" spans="9:10" x14ac:dyDescent="0.3">
      <c r="I807" t="s">
        <v>14</v>
      </c>
      <c r="J807">
        <v>9700</v>
      </c>
    </row>
    <row r="808" spans="9:10" x14ac:dyDescent="0.3">
      <c r="I808" t="s">
        <v>20</v>
      </c>
      <c r="J808">
        <v>700</v>
      </c>
    </row>
    <row r="809" spans="9:10" x14ac:dyDescent="0.3">
      <c r="I809" t="s">
        <v>20</v>
      </c>
      <c r="J809">
        <v>700</v>
      </c>
    </row>
    <row r="810" spans="9:10" x14ac:dyDescent="0.3">
      <c r="I810" t="s">
        <v>14</v>
      </c>
      <c r="J810">
        <v>5200</v>
      </c>
    </row>
    <row r="811" spans="9:10" x14ac:dyDescent="0.3">
      <c r="I811" t="s">
        <v>14</v>
      </c>
      <c r="J811">
        <v>140800</v>
      </c>
    </row>
    <row r="812" spans="9:10" x14ac:dyDescent="0.3">
      <c r="I812" t="s">
        <v>20</v>
      </c>
      <c r="J812">
        <v>6400</v>
      </c>
    </row>
    <row r="813" spans="9:10" x14ac:dyDescent="0.3">
      <c r="I813" t="s">
        <v>14</v>
      </c>
      <c r="J813">
        <v>92500</v>
      </c>
    </row>
    <row r="814" spans="9:10" x14ac:dyDescent="0.3">
      <c r="I814" t="s">
        <v>20</v>
      </c>
      <c r="J814">
        <v>59700</v>
      </c>
    </row>
    <row r="815" spans="9:10" x14ac:dyDescent="0.3">
      <c r="I815" t="s">
        <v>20</v>
      </c>
      <c r="J815">
        <v>3200</v>
      </c>
    </row>
    <row r="816" spans="9:10" x14ac:dyDescent="0.3">
      <c r="I816" t="s">
        <v>14</v>
      </c>
      <c r="J816">
        <v>3200</v>
      </c>
    </row>
    <row r="817" spans="9:10" x14ac:dyDescent="0.3">
      <c r="I817" t="s">
        <v>20</v>
      </c>
      <c r="J817">
        <v>9000</v>
      </c>
    </row>
    <row r="818" spans="9:10" x14ac:dyDescent="0.3">
      <c r="I818" t="s">
        <v>20</v>
      </c>
      <c r="J818">
        <v>2300</v>
      </c>
    </row>
    <row r="819" spans="9:10" x14ac:dyDescent="0.3">
      <c r="I819" t="s">
        <v>20</v>
      </c>
      <c r="J819">
        <v>51300</v>
      </c>
    </row>
    <row r="820" spans="9:10" x14ac:dyDescent="0.3">
      <c r="I820" t="s">
        <v>20</v>
      </c>
      <c r="J820">
        <v>700</v>
      </c>
    </row>
    <row r="821" spans="9:10" x14ac:dyDescent="0.3">
      <c r="I821" t="s">
        <v>14</v>
      </c>
      <c r="J821">
        <v>8900</v>
      </c>
    </row>
    <row r="822" spans="9:10" x14ac:dyDescent="0.3">
      <c r="I822" t="s">
        <v>20</v>
      </c>
      <c r="J822">
        <v>1500</v>
      </c>
    </row>
    <row r="823" spans="9:10" x14ac:dyDescent="0.3">
      <c r="I823" t="s">
        <v>20</v>
      </c>
      <c r="J823">
        <v>4900</v>
      </c>
    </row>
    <row r="824" spans="9:10" x14ac:dyDescent="0.3">
      <c r="I824" t="s">
        <v>20</v>
      </c>
      <c r="J824">
        <v>54000</v>
      </c>
    </row>
    <row r="825" spans="9:10" x14ac:dyDescent="0.3">
      <c r="I825" t="s">
        <v>20</v>
      </c>
      <c r="J825">
        <v>4100</v>
      </c>
    </row>
    <row r="826" spans="9:10" x14ac:dyDescent="0.3">
      <c r="I826" t="s">
        <v>20</v>
      </c>
      <c r="J826">
        <v>85000</v>
      </c>
    </row>
    <row r="827" spans="9:10" x14ac:dyDescent="0.3">
      <c r="I827" t="s">
        <v>20</v>
      </c>
      <c r="J827">
        <v>3600</v>
      </c>
    </row>
    <row r="828" spans="9:10" x14ac:dyDescent="0.3">
      <c r="I828" t="s">
        <v>20</v>
      </c>
      <c r="J828">
        <v>2800</v>
      </c>
    </row>
    <row r="829" spans="9:10" x14ac:dyDescent="0.3">
      <c r="I829" t="s">
        <v>20</v>
      </c>
      <c r="J829">
        <v>2300</v>
      </c>
    </row>
    <row r="830" spans="9:10" x14ac:dyDescent="0.3">
      <c r="I830" t="s">
        <v>14</v>
      </c>
      <c r="J830">
        <v>7100</v>
      </c>
    </row>
    <row r="831" spans="9:10" x14ac:dyDescent="0.3">
      <c r="I831" t="s">
        <v>14</v>
      </c>
      <c r="J831">
        <v>9600</v>
      </c>
    </row>
    <row r="832" spans="9:10" x14ac:dyDescent="0.3">
      <c r="I832" t="s">
        <v>14</v>
      </c>
      <c r="J832">
        <v>121600</v>
      </c>
    </row>
    <row r="833" spans="9:10" x14ac:dyDescent="0.3">
      <c r="I833" t="s">
        <v>20</v>
      </c>
      <c r="J833">
        <v>97100</v>
      </c>
    </row>
    <row r="834" spans="9:10" x14ac:dyDescent="0.3">
      <c r="I834" t="s">
        <v>20</v>
      </c>
      <c r="J834">
        <v>43200</v>
      </c>
    </row>
    <row r="835" spans="9:10" x14ac:dyDescent="0.3">
      <c r="I835" t="s">
        <v>20</v>
      </c>
      <c r="J835">
        <v>6800</v>
      </c>
    </row>
    <row r="836" spans="9:10" x14ac:dyDescent="0.3">
      <c r="I836" t="s">
        <v>20</v>
      </c>
      <c r="J836">
        <v>7300</v>
      </c>
    </row>
    <row r="837" spans="9:10" x14ac:dyDescent="0.3">
      <c r="I837" t="s">
        <v>14</v>
      </c>
      <c r="J837">
        <v>86200</v>
      </c>
    </row>
    <row r="838" spans="9:10" x14ac:dyDescent="0.3">
      <c r="I838" t="s">
        <v>14</v>
      </c>
      <c r="J838">
        <v>8100</v>
      </c>
    </row>
    <row r="839" spans="9:10" x14ac:dyDescent="0.3">
      <c r="I839" t="s">
        <v>20</v>
      </c>
      <c r="J839">
        <v>17700</v>
      </c>
    </row>
    <row r="840" spans="9:10" x14ac:dyDescent="0.3">
      <c r="I840" t="s">
        <v>20</v>
      </c>
      <c r="J840">
        <v>6400</v>
      </c>
    </row>
    <row r="841" spans="9:10" x14ac:dyDescent="0.3">
      <c r="I841" t="s">
        <v>20</v>
      </c>
      <c r="J841">
        <v>7700</v>
      </c>
    </row>
    <row r="842" spans="9:10" x14ac:dyDescent="0.3">
      <c r="I842" t="s">
        <v>20</v>
      </c>
      <c r="J842">
        <v>116300</v>
      </c>
    </row>
    <row r="843" spans="9:10" x14ac:dyDescent="0.3">
      <c r="I843" t="s">
        <v>20</v>
      </c>
      <c r="J843">
        <v>9100</v>
      </c>
    </row>
    <row r="844" spans="9:10" x14ac:dyDescent="0.3">
      <c r="I844" t="s">
        <v>20</v>
      </c>
      <c r="J844">
        <v>1500</v>
      </c>
    </row>
    <row r="845" spans="9:10" x14ac:dyDescent="0.3">
      <c r="I845" t="s">
        <v>14</v>
      </c>
      <c r="J845">
        <v>8800</v>
      </c>
    </row>
    <row r="846" spans="9:10" x14ac:dyDescent="0.3">
      <c r="I846" t="s">
        <v>74</v>
      </c>
      <c r="J846">
        <v>8800</v>
      </c>
    </row>
    <row r="847" spans="9:10" x14ac:dyDescent="0.3">
      <c r="I847" t="s">
        <v>20</v>
      </c>
      <c r="J847">
        <v>69900</v>
      </c>
    </row>
    <row r="848" spans="9:10" x14ac:dyDescent="0.3">
      <c r="I848" t="s">
        <v>20</v>
      </c>
      <c r="J848">
        <v>1000</v>
      </c>
    </row>
    <row r="849" spans="9:10" x14ac:dyDescent="0.3">
      <c r="I849" t="s">
        <v>20</v>
      </c>
      <c r="J849">
        <v>4700</v>
      </c>
    </row>
    <row r="850" spans="9:10" x14ac:dyDescent="0.3">
      <c r="I850" t="s">
        <v>20</v>
      </c>
      <c r="J850">
        <v>3200</v>
      </c>
    </row>
    <row r="851" spans="9:10" x14ac:dyDescent="0.3">
      <c r="I851" t="s">
        <v>20</v>
      </c>
      <c r="J851">
        <v>6700</v>
      </c>
    </row>
    <row r="852" spans="9:10" x14ac:dyDescent="0.3">
      <c r="I852" t="s">
        <v>14</v>
      </c>
      <c r="J852">
        <v>100</v>
      </c>
    </row>
    <row r="853" spans="9:10" x14ac:dyDescent="0.3">
      <c r="I853" t="s">
        <v>20</v>
      </c>
      <c r="J853">
        <v>6000</v>
      </c>
    </row>
    <row r="854" spans="9:10" x14ac:dyDescent="0.3">
      <c r="I854" t="s">
        <v>14</v>
      </c>
      <c r="J854">
        <v>4900</v>
      </c>
    </row>
    <row r="855" spans="9:10" x14ac:dyDescent="0.3">
      <c r="I855" t="s">
        <v>20</v>
      </c>
      <c r="J855">
        <v>17100</v>
      </c>
    </row>
    <row r="856" spans="9:10" x14ac:dyDescent="0.3">
      <c r="I856" t="s">
        <v>20</v>
      </c>
      <c r="J856">
        <v>171000</v>
      </c>
    </row>
    <row r="857" spans="9:10" x14ac:dyDescent="0.3">
      <c r="I857" t="s">
        <v>20</v>
      </c>
      <c r="J857">
        <v>23400</v>
      </c>
    </row>
    <row r="858" spans="9:10" x14ac:dyDescent="0.3">
      <c r="I858" t="s">
        <v>20</v>
      </c>
      <c r="J858">
        <v>2400</v>
      </c>
    </row>
    <row r="859" spans="9:10" x14ac:dyDescent="0.3">
      <c r="I859" t="s">
        <v>20</v>
      </c>
      <c r="J859">
        <v>5300</v>
      </c>
    </row>
    <row r="860" spans="9:10" x14ac:dyDescent="0.3">
      <c r="I860" t="s">
        <v>14</v>
      </c>
      <c r="J860">
        <v>4000</v>
      </c>
    </row>
    <row r="861" spans="9:10" x14ac:dyDescent="0.3">
      <c r="I861" t="s">
        <v>14</v>
      </c>
      <c r="J861">
        <v>7300</v>
      </c>
    </row>
    <row r="862" spans="9:10" x14ac:dyDescent="0.3">
      <c r="I862" t="s">
        <v>20</v>
      </c>
      <c r="J862">
        <v>2000</v>
      </c>
    </row>
    <row r="863" spans="9:10" x14ac:dyDescent="0.3">
      <c r="I863" t="s">
        <v>20</v>
      </c>
      <c r="J863">
        <v>8800</v>
      </c>
    </row>
    <row r="864" spans="9:10" x14ac:dyDescent="0.3">
      <c r="I864" t="s">
        <v>20</v>
      </c>
      <c r="J864">
        <v>3500</v>
      </c>
    </row>
    <row r="865" spans="9:10" x14ac:dyDescent="0.3">
      <c r="I865" t="s">
        <v>20</v>
      </c>
      <c r="J865">
        <v>1400</v>
      </c>
    </row>
    <row r="866" spans="9:10" x14ac:dyDescent="0.3">
      <c r="I866" t="s">
        <v>20</v>
      </c>
      <c r="J866">
        <v>4200</v>
      </c>
    </row>
    <row r="867" spans="9:10" x14ac:dyDescent="0.3">
      <c r="I867" t="s">
        <v>20</v>
      </c>
      <c r="J867">
        <v>81000</v>
      </c>
    </row>
    <row r="868" spans="9:10" x14ac:dyDescent="0.3">
      <c r="I868" t="s">
        <v>74</v>
      </c>
      <c r="J868">
        <v>182800</v>
      </c>
    </row>
    <row r="869" spans="9:10" x14ac:dyDescent="0.3">
      <c r="I869" t="s">
        <v>20</v>
      </c>
      <c r="J869">
        <v>4800</v>
      </c>
    </row>
    <row r="870" spans="9:10" x14ac:dyDescent="0.3">
      <c r="I870" t="s">
        <v>20</v>
      </c>
      <c r="J870">
        <v>7000</v>
      </c>
    </row>
    <row r="871" spans="9:10" x14ac:dyDescent="0.3">
      <c r="I871" t="s">
        <v>14</v>
      </c>
      <c r="J871">
        <v>161900</v>
      </c>
    </row>
    <row r="872" spans="9:10" x14ac:dyDescent="0.3">
      <c r="I872" t="s">
        <v>14</v>
      </c>
      <c r="J872">
        <v>7700</v>
      </c>
    </row>
    <row r="873" spans="9:10" x14ac:dyDescent="0.3">
      <c r="I873" t="s">
        <v>20</v>
      </c>
      <c r="J873">
        <v>71500</v>
      </c>
    </row>
    <row r="874" spans="9:10" x14ac:dyDescent="0.3">
      <c r="I874" t="s">
        <v>20</v>
      </c>
      <c r="J874">
        <v>4700</v>
      </c>
    </row>
    <row r="875" spans="9:10" x14ac:dyDescent="0.3">
      <c r="I875" t="s">
        <v>20</v>
      </c>
      <c r="J875">
        <v>42100</v>
      </c>
    </row>
    <row r="876" spans="9:10" x14ac:dyDescent="0.3">
      <c r="I876" t="s">
        <v>20</v>
      </c>
      <c r="J876">
        <v>40200</v>
      </c>
    </row>
    <row r="877" spans="9:10" x14ac:dyDescent="0.3">
      <c r="I877" t="s">
        <v>14</v>
      </c>
      <c r="J877">
        <v>7900</v>
      </c>
    </row>
    <row r="878" spans="9:10" x14ac:dyDescent="0.3">
      <c r="I878" t="s">
        <v>14</v>
      </c>
      <c r="J878">
        <v>8300</v>
      </c>
    </row>
    <row r="879" spans="9:10" x14ac:dyDescent="0.3">
      <c r="I879" t="s">
        <v>14</v>
      </c>
      <c r="J879">
        <v>163600</v>
      </c>
    </row>
    <row r="880" spans="9:10" x14ac:dyDescent="0.3">
      <c r="I880" t="s">
        <v>14</v>
      </c>
      <c r="J880">
        <v>2700</v>
      </c>
    </row>
    <row r="881" spans="9:10" x14ac:dyDescent="0.3">
      <c r="I881" t="s">
        <v>20</v>
      </c>
      <c r="J881">
        <v>1000</v>
      </c>
    </row>
    <row r="882" spans="9:10" x14ac:dyDescent="0.3">
      <c r="I882" t="s">
        <v>20</v>
      </c>
      <c r="J882">
        <v>84500</v>
      </c>
    </row>
    <row r="883" spans="9:10" x14ac:dyDescent="0.3">
      <c r="I883" t="s">
        <v>14</v>
      </c>
      <c r="J883">
        <v>81300</v>
      </c>
    </row>
    <row r="884" spans="9:10" x14ac:dyDescent="0.3">
      <c r="I884" t="s">
        <v>20</v>
      </c>
      <c r="J884">
        <v>800</v>
      </c>
    </row>
    <row r="885" spans="9:10" x14ac:dyDescent="0.3">
      <c r="I885" t="s">
        <v>20</v>
      </c>
      <c r="J885">
        <v>3400</v>
      </c>
    </row>
    <row r="886" spans="9:10" x14ac:dyDescent="0.3">
      <c r="I886" t="s">
        <v>14</v>
      </c>
      <c r="J886">
        <v>170800</v>
      </c>
    </row>
    <row r="887" spans="9:10" x14ac:dyDescent="0.3">
      <c r="I887" t="s">
        <v>20</v>
      </c>
      <c r="J887">
        <v>1800</v>
      </c>
    </row>
    <row r="888" spans="9:10" x14ac:dyDescent="0.3">
      <c r="I888" t="s">
        <v>14</v>
      </c>
      <c r="J888">
        <v>150600</v>
      </c>
    </row>
    <row r="889" spans="9:10" x14ac:dyDescent="0.3">
      <c r="I889" t="s">
        <v>14</v>
      </c>
      <c r="J889">
        <v>7800</v>
      </c>
    </row>
    <row r="890" spans="9:10" x14ac:dyDescent="0.3">
      <c r="I890" t="s">
        <v>20</v>
      </c>
      <c r="J890">
        <v>5800</v>
      </c>
    </row>
    <row r="891" spans="9:10" x14ac:dyDescent="0.3">
      <c r="I891" t="s">
        <v>20</v>
      </c>
      <c r="J891">
        <v>5600</v>
      </c>
    </row>
    <row r="892" spans="9:10" x14ac:dyDescent="0.3">
      <c r="I892" t="s">
        <v>20</v>
      </c>
      <c r="J892">
        <v>134400</v>
      </c>
    </row>
    <row r="893" spans="9:10" x14ac:dyDescent="0.3">
      <c r="I893" t="s">
        <v>20</v>
      </c>
      <c r="J893">
        <v>3000</v>
      </c>
    </row>
    <row r="894" spans="9:10" x14ac:dyDescent="0.3">
      <c r="I894" t="s">
        <v>20</v>
      </c>
      <c r="J894">
        <v>6000</v>
      </c>
    </row>
    <row r="895" spans="9:10" x14ac:dyDescent="0.3">
      <c r="I895" t="s">
        <v>20</v>
      </c>
      <c r="J895">
        <v>8400</v>
      </c>
    </row>
    <row r="896" spans="9:10" x14ac:dyDescent="0.3">
      <c r="I896" t="s">
        <v>20</v>
      </c>
      <c r="J896">
        <v>1700</v>
      </c>
    </row>
    <row r="897" spans="9:10" x14ac:dyDescent="0.3">
      <c r="I897" t="s">
        <v>14</v>
      </c>
      <c r="J897">
        <v>159800</v>
      </c>
    </row>
    <row r="898" spans="9:10" x14ac:dyDescent="0.3">
      <c r="I898" t="s">
        <v>20</v>
      </c>
      <c r="J898">
        <v>19800</v>
      </c>
    </row>
    <row r="899" spans="9:10" x14ac:dyDescent="0.3">
      <c r="I899" t="s">
        <v>14</v>
      </c>
      <c r="J899">
        <v>8800</v>
      </c>
    </row>
    <row r="900" spans="9:10" x14ac:dyDescent="0.3">
      <c r="I900" t="s">
        <v>14</v>
      </c>
      <c r="J900">
        <v>179100</v>
      </c>
    </row>
    <row r="901" spans="9:10" x14ac:dyDescent="0.3">
      <c r="I901" t="s">
        <v>20</v>
      </c>
      <c r="J901">
        <v>3100</v>
      </c>
    </row>
    <row r="902" spans="9:10" x14ac:dyDescent="0.3">
      <c r="I902" t="s">
        <v>14</v>
      </c>
      <c r="J902">
        <v>100</v>
      </c>
    </row>
    <row r="903" spans="9:10" x14ac:dyDescent="0.3">
      <c r="I903" t="s">
        <v>20</v>
      </c>
      <c r="J903">
        <v>5600</v>
      </c>
    </row>
    <row r="904" spans="9:10" x14ac:dyDescent="0.3">
      <c r="I904" t="s">
        <v>20</v>
      </c>
      <c r="J904">
        <v>1400</v>
      </c>
    </row>
    <row r="905" spans="9:10" x14ac:dyDescent="0.3">
      <c r="I905" t="s">
        <v>47</v>
      </c>
      <c r="J905">
        <v>41000</v>
      </c>
    </row>
    <row r="906" spans="9:10" x14ac:dyDescent="0.3">
      <c r="I906" t="s">
        <v>14</v>
      </c>
      <c r="J906">
        <v>6500</v>
      </c>
    </row>
    <row r="907" spans="9:10" x14ac:dyDescent="0.3">
      <c r="I907" t="s">
        <v>20</v>
      </c>
      <c r="J907">
        <v>7900</v>
      </c>
    </row>
    <row r="908" spans="9:10" x14ac:dyDescent="0.3">
      <c r="I908" t="s">
        <v>20</v>
      </c>
      <c r="J908">
        <v>5500</v>
      </c>
    </row>
    <row r="909" spans="9:10" x14ac:dyDescent="0.3">
      <c r="I909" t="s">
        <v>14</v>
      </c>
      <c r="J909">
        <v>9100</v>
      </c>
    </row>
    <row r="910" spans="9:10" x14ac:dyDescent="0.3">
      <c r="I910" t="s">
        <v>20</v>
      </c>
      <c r="J910">
        <v>38200</v>
      </c>
    </row>
    <row r="911" spans="9:10" x14ac:dyDescent="0.3">
      <c r="I911" t="s">
        <v>20</v>
      </c>
      <c r="J911">
        <v>1800</v>
      </c>
    </row>
    <row r="912" spans="9:10" x14ac:dyDescent="0.3">
      <c r="I912" t="s">
        <v>74</v>
      </c>
      <c r="J912">
        <v>154500</v>
      </c>
    </row>
    <row r="913" spans="9:10" x14ac:dyDescent="0.3">
      <c r="I913" t="s">
        <v>20</v>
      </c>
      <c r="J913">
        <v>5800</v>
      </c>
    </row>
    <row r="914" spans="9:10" x14ac:dyDescent="0.3">
      <c r="I914" t="s">
        <v>20</v>
      </c>
      <c r="J914">
        <v>1800</v>
      </c>
    </row>
    <row r="915" spans="9:10" x14ac:dyDescent="0.3">
      <c r="I915" t="s">
        <v>14</v>
      </c>
      <c r="J915">
        <v>70200</v>
      </c>
    </row>
    <row r="916" spans="9:10" x14ac:dyDescent="0.3">
      <c r="I916" t="s">
        <v>14</v>
      </c>
      <c r="J916">
        <v>6400</v>
      </c>
    </row>
    <row r="917" spans="9:10" x14ac:dyDescent="0.3">
      <c r="I917" t="s">
        <v>20</v>
      </c>
      <c r="J917">
        <v>125900</v>
      </c>
    </row>
    <row r="918" spans="9:10" x14ac:dyDescent="0.3">
      <c r="I918" t="s">
        <v>14</v>
      </c>
      <c r="J918">
        <v>3700</v>
      </c>
    </row>
    <row r="919" spans="9:10" x14ac:dyDescent="0.3">
      <c r="I919" t="s">
        <v>47</v>
      </c>
      <c r="J919">
        <v>3600</v>
      </c>
    </row>
    <row r="920" spans="9:10" x14ac:dyDescent="0.3">
      <c r="I920" t="s">
        <v>20</v>
      </c>
      <c r="J920">
        <v>3800</v>
      </c>
    </row>
    <row r="921" spans="9:10" x14ac:dyDescent="0.3">
      <c r="I921" t="s">
        <v>14</v>
      </c>
      <c r="J921">
        <v>35600</v>
      </c>
    </row>
    <row r="922" spans="9:10" x14ac:dyDescent="0.3">
      <c r="I922" t="s">
        <v>20</v>
      </c>
      <c r="J922">
        <v>5300</v>
      </c>
    </row>
    <row r="923" spans="9:10" x14ac:dyDescent="0.3">
      <c r="I923" t="s">
        <v>14</v>
      </c>
      <c r="J923">
        <v>160400</v>
      </c>
    </row>
    <row r="924" spans="9:10" x14ac:dyDescent="0.3">
      <c r="I924" t="s">
        <v>20</v>
      </c>
      <c r="J924">
        <v>51400</v>
      </c>
    </row>
    <row r="925" spans="9:10" x14ac:dyDescent="0.3">
      <c r="I925" t="s">
        <v>20</v>
      </c>
      <c r="J925">
        <v>1700</v>
      </c>
    </row>
    <row r="926" spans="9:10" x14ac:dyDescent="0.3">
      <c r="I926" t="s">
        <v>20</v>
      </c>
      <c r="J926">
        <v>39400</v>
      </c>
    </row>
    <row r="927" spans="9:10" x14ac:dyDescent="0.3">
      <c r="I927" t="s">
        <v>20</v>
      </c>
      <c r="J927">
        <v>3000</v>
      </c>
    </row>
    <row r="928" spans="9:10" x14ac:dyDescent="0.3">
      <c r="I928" t="s">
        <v>14</v>
      </c>
      <c r="J928">
        <v>8700</v>
      </c>
    </row>
    <row r="929" spans="9:10" x14ac:dyDescent="0.3">
      <c r="I929" t="s">
        <v>14</v>
      </c>
      <c r="J929">
        <v>7200</v>
      </c>
    </row>
    <row r="930" spans="9:10" x14ac:dyDescent="0.3">
      <c r="I930" t="s">
        <v>20</v>
      </c>
      <c r="J930">
        <v>167400</v>
      </c>
    </row>
    <row r="931" spans="9:10" x14ac:dyDescent="0.3">
      <c r="I931" t="s">
        <v>20</v>
      </c>
      <c r="J931">
        <v>5500</v>
      </c>
    </row>
    <row r="932" spans="9:10" x14ac:dyDescent="0.3">
      <c r="I932" t="s">
        <v>20</v>
      </c>
      <c r="J932">
        <v>3500</v>
      </c>
    </row>
    <row r="933" spans="9:10" x14ac:dyDescent="0.3">
      <c r="I933" t="s">
        <v>14</v>
      </c>
      <c r="J933">
        <v>7900</v>
      </c>
    </row>
    <row r="934" spans="9:10" x14ac:dyDescent="0.3">
      <c r="I934" t="s">
        <v>20</v>
      </c>
      <c r="J934">
        <v>2300</v>
      </c>
    </row>
    <row r="935" spans="9:10" x14ac:dyDescent="0.3">
      <c r="I935" t="s">
        <v>20</v>
      </c>
      <c r="J935">
        <v>73000</v>
      </c>
    </row>
    <row r="936" spans="9:10" x14ac:dyDescent="0.3">
      <c r="I936" t="s">
        <v>20</v>
      </c>
      <c r="J936">
        <v>6200</v>
      </c>
    </row>
    <row r="937" spans="9:10" x14ac:dyDescent="0.3">
      <c r="I937" t="s">
        <v>20</v>
      </c>
      <c r="J937">
        <v>6100</v>
      </c>
    </row>
    <row r="938" spans="9:10" x14ac:dyDescent="0.3">
      <c r="I938" t="s">
        <v>14</v>
      </c>
      <c r="J938">
        <v>103200</v>
      </c>
    </row>
    <row r="939" spans="9:10" x14ac:dyDescent="0.3">
      <c r="I939" t="s">
        <v>74</v>
      </c>
      <c r="J939">
        <v>171000</v>
      </c>
    </row>
    <row r="940" spans="9:10" x14ac:dyDescent="0.3">
      <c r="I940" t="s">
        <v>20</v>
      </c>
      <c r="J940">
        <v>9200</v>
      </c>
    </row>
    <row r="941" spans="9:10" x14ac:dyDescent="0.3">
      <c r="I941" t="s">
        <v>14</v>
      </c>
      <c r="J941">
        <v>7800</v>
      </c>
    </row>
    <row r="942" spans="9:10" x14ac:dyDescent="0.3">
      <c r="I942" t="s">
        <v>47</v>
      </c>
      <c r="J942">
        <v>9900</v>
      </c>
    </row>
    <row r="943" spans="9:10" x14ac:dyDescent="0.3">
      <c r="I943" t="s">
        <v>14</v>
      </c>
      <c r="J943">
        <v>43000</v>
      </c>
    </row>
    <row r="944" spans="9:10" x14ac:dyDescent="0.3">
      <c r="I944" t="s">
        <v>14</v>
      </c>
      <c r="J944">
        <v>9600</v>
      </c>
    </row>
    <row r="945" spans="9:10" x14ac:dyDescent="0.3">
      <c r="I945" t="s">
        <v>20</v>
      </c>
      <c r="J945">
        <v>7500</v>
      </c>
    </row>
    <row r="946" spans="9:10" x14ac:dyDescent="0.3">
      <c r="I946" t="s">
        <v>14</v>
      </c>
      <c r="J946">
        <v>10000</v>
      </c>
    </row>
    <row r="947" spans="9:10" x14ac:dyDescent="0.3">
      <c r="I947" t="s">
        <v>14</v>
      </c>
      <c r="J947">
        <v>172000</v>
      </c>
    </row>
    <row r="948" spans="9:10" x14ac:dyDescent="0.3">
      <c r="I948" t="s">
        <v>14</v>
      </c>
      <c r="J948">
        <v>153700</v>
      </c>
    </row>
    <row r="949" spans="9:10" x14ac:dyDescent="0.3">
      <c r="I949" t="s">
        <v>14</v>
      </c>
      <c r="J949">
        <v>3600</v>
      </c>
    </row>
    <row r="950" spans="9:10" x14ac:dyDescent="0.3">
      <c r="I950" t="s">
        <v>74</v>
      </c>
      <c r="J950">
        <v>9400</v>
      </c>
    </row>
    <row r="951" spans="9:10" x14ac:dyDescent="0.3">
      <c r="I951" t="s">
        <v>20</v>
      </c>
      <c r="J951">
        <v>5900</v>
      </c>
    </row>
    <row r="952" spans="9:10" x14ac:dyDescent="0.3">
      <c r="I952" t="s">
        <v>14</v>
      </c>
      <c r="J952">
        <v>100</v>
      </c>
    </row>
    <row r="953" spans="9:10" x14ac:dyDescent="0.3">
      <c r="I953" t="s">
        <v>20</v>
      </c>
      <c r="J953">
        <v>14500</v>
      </c>
    </row>
    <row r="954" spans="9:10" x14ac:dyDescent="0.3">
      <c r="I954" t="s">
        <v>74</v>
      </c>
      <c r="J954">
        <v>145500</v>
      </c>
    </row>
    <row r="955" spans="9:10" x14ac:dyDescent="0.3">
      <c r="I955" t="s">
        <v>14</v>
      </c>
      <c r="J955">
        <v>3300</v>
      </c>
    </row>
    <row r="956" spans="9:10" x14ac:dyDescent="0.3">
      <c r="I956" t="s">
        <v>20</v>
      </c>
      <c r="J956">
        <v>42600</v>
      </c>
    </row>
    <row r="957" spans="9:10" x14ac:dyDescent="0.3">
      <c r="I957" t="s">
        <v>20</v>
      </c>
      <c r="J957">
        <v>700</v>
      </c>
    </row>
    <row r="958" spans="9:10" x14ac:dyDescent="0.3">
      <c r="I958" t="s">
        <v>14</v>
      </c>
      <c r="J958">
        <v>187600</v>
      </c>
    </row>
    <row r="959" spans="9:10" x14ac:dyDescent="0.3">
      <c r="I959" t="s">
        <v>20</v>
      </c>
      <c r="J959">
        <v>9800</v>
      </c>
    </row>
    <row r="960" spans="9:10" x14ac:dyDescent="0.3">
      <c r="I960" t="s">
        <v>20</v>
      </c>
      <c r="J960">
        <v>1100</v>
      </c>
    </row>
    <row r="961" spans="9:10" x14ac:dyDescent="0.3">
      <c r="I961" t="s">
        <v>14</v>
      </c>
      <c r="J961">
        <v>145000</v>
      </c>
    </row>
    <row r="962" spans="9:10" x14ac:dyDescent="0.3">
      <c r="I962" t="s">
        <v>14</v>
      </c>
      <c r="J962">
        <v>5500</v>
      </c>
    </row>
    <row r="963" spans="9:10" x14ac:dyDescent="0.3">
      <c r="I963" t="s">
        <v>20</v>
      </c>
      <c r="J963">
        <v>5700</v>
      </c>
    </row>
    <row r="964" spans="9:10" x14ac:dyDescent="0.3">
      <c r="I964" t="s">
        <v>20</v>
      </c>
      <c r="J964">
        <v>3600</v>
      </c>
    </row>
    <row r="965" spans="9:10" x14ac:dyDescent="0.3">
      <c r="I965" t="s">
        <v>14</v>
      </c>
      <c r="J965">
        <v>5900</v>
      </c>
    </row>
    <row r="966" spans="9:10" x14ac:dyDescent="0.3">
      <c r="I966" t="s">
        <v>20</v>
      </c>
      <c r="J966">
        <v>3700</v>
      </c>
    </row>
    <row r="967" spans="9:10" x14ac:dyDescent="0.3">
      <c r="I967" t="s">
        <v>20</v>
      </c>
      <c r="J967">
        <v>2200</v>
      </c>
    </row>
    <row r="968" spans="9:10" x14ac:dyDescent="0.3">
      <c r="I968" t="s">
        <v>20</v>
      </c>
      <c r="J968">
        <v>1700</v>
      </c>
    </row>
    <row r="969" spans="9:10" x14ac:dyDescent="0.3">
      <c r="I969" t="s">
        <v>20</v>
      </c>
      <c r="J969">
        <v>88400</v>
      </c>
    </row>
    <row r="970" spans="9:10" x14ac:dyDescent="0.3">
      <c r="I970" t="s">
        <v>20</v>
      </c>
      <c r="J970">
        <v>2400</v>
      </c>
    </row>
    <row r="971" spans="9:10" x14ac:dyDescent="0.3">
      <c r="I971" t="s">
        <v>20</v>
      </c>
      <c r="J971">
        <v>7900</v>
      </c>
    </row>
    <row r="972" spans="9:10" x14ac:dyDescent="0.3">
      <c r="I972" t="s">
        <v>14</v>
      </c>
      <c r="J972">
        <v>94900</v>
      </c>
    </row>
    <row r="973" spans="9:10" x14ac:dyDescent="0.3">
      <c r="I973" t="s">
        <v>14</v>
      </c>
      <c r="J973">
        <v>5100</v>
      </c>
    </row>
    <row r="974" spans="9:10" x14ac:dyDescent="0.3">
      <c r="I974" t="s">
        <v>20</v>
      </c>
      <c r="J974">
        <v>42700</v>
      </c>
    </row>
    <row r="975" spans="9:10" x14ac:dyDescent="0.3">
      <c r="I975" t="s">
        <v>14</v>
      </c>
      <c r="J975">
        <v>121100</v>
      </c>
    </row>
    <row r="976" spans="9:10" x14ac:dyDescent="0.3">
      <c r="I976" t="s">
        <v>20</v>
      </c>
      <c r="J976">
        <v>800</v>
      </c>
    </row>
    <row r="977" spans="9:10" x14ac:dyDescent="0.3">
      <c r="I977" t="s">
        <v>20</v>
      </c>
      <c r="J977">
        <v>5400</v>
      </c>
    </row>
    <row r="978" spans="9:10" x14ac:dyDescent="0.3">
      <c r="I978" t="s">
        <v>20</v>
      </c>
      <c r="J978">
        <v>4000</v>
      </c>
    </row>
    <row r="979" spans="9:10" x14ac:dyDescent="0.3">
      <c r="I979" t="s">
        <v>14</v>
      </c>
      <c r="J979">
        <v>7000</v>
      </c>
    </row>
    <row r="980" spans="9:10" x14ac:dyDescent="0.3">
      <c r="I980" t="s">
        <v>20</v>
      </c>
      <c r="J980">
        <v>1000</v>
      </c>
    </row>
    <row r="981" spans="9:10" x14ac:dyDescent="0.3">
      <c r="I981" t="s">
        <v>20</v>
      </c>
      <c r="J981">
        <v>60200</v>
      </c>
    </row>
    <row r="982" spans="9:10" x14ac:dyDescent="0.3">
      <c r="I982" t="s">
        <v>14</v>
      </c>
      <c r="J982">
        <v>195200</v>
      </c>
    </row>
    <row r="983" spans="9:10" x14ac:dyDescent="0.3">
      <c r="I983" t="s">
        <v>20</v>
      </c>
      <c r="J983">
        <v>6700</v>
      </c>
    </row>
    <row r="984" spans="9:10" x14ac:dyDescent="0.3">
      <c r="I984" t="s">
        <v>14</v>
      </c>
      <c r="J984">
        <v>7200</v>
      </c>
    </row>
    <row r="985" spans="9:10" x14ac:dyDescent="0.3">
      <c r="I985" t="s">
        <v>20</v>
      </c>
      <c r="J985">
        <v>129100</v>
      </c>
    </row>
    <row r="986" spans="9:10" x14ac:dyDescent="0.3">
      <c r="I986" t="s">
        <v>20</v>
      </c>
      <c r="J986">
        <v>6500</v>
      </c>
    </row>
    <row r="987" spans="9:10" x14ac:dyDescent="0.3">
      <c r="I987" t="s">
        <v>14</v>
      </c>
      <c r="J987">
        <v>170600</v>
      </c>
    </row>
    <row r="988" spans="9:10" x14ac:dyDescent="0.3">
      <c r="I988" t="s">
        <v>14</v>
      </c>
      <c r="J988">
        <v>7800</v>
      </c>
    </row>
    <row r="989" spans="9:10" x14ac:dyDescent="0.3">
      <c r="I989" t="s">
        <v>20</v>
      </c>
      <c r="J989">
        <v>6200</v>
      </c>
    </row>
    <row r="990" spans="9:10" x14ac:dyDescent="0.3">
      <c r="I990" t="s">
        <v>14</v>
      </c>
      <c r="J990">
        <v>9400</v>
      </c>
    </row>
    <row r="991" spans="9:10" x14ac:dyDescent="0.3">
      <c r="I991" t="s">
        <v>20</v>
      </c>
      <c r="J991">
        <v>2400</v>
      </c>
    </row>
    <row r="992" spans="9:10" x14ac:dyDescent="0.3">
      <c r="I992" t="s">
        <v>14</v>
      </c>
      <c r="J992">
        <v>7800</v>
      </c>
    </row>
    <row r="993" spans="9:10" x14ac:dyDescent="0.3">
      <c r="I993" t="s">
        <v>20</v>
      </c>
      <c r="J993">
        <v>9800</v>
      </c>
    </row>
    <row r="994" spans="9:10" x14ac:dyDescent="0.3">
      <c r="I994" t="s">
        <v>20</v>
      </c>
      <c r="J994">
        <v>3100</v>
      </c>
    </row>
    <row r="995" spans="9:10" x14ac:dyDescent="0.3">
      <c r="I995" t="s">
        <v>74</v>
      </c>
      <c r="J995">
        <v>9800</v>
      </c>
    </row>
    <row r="996" spans="9:10" x14ac:dyDescent="0.3">
      <c r="I996" t="s">
        <v>14</v>
      </c>
      <c r="J996">
        <v>141100</v>
      </c>
    </row>
    <row r="997" spans="9:10" x14ac:dyDescent="0.3">
      <c r="I997" t="s">
        <v>20</v>
      </c>
      <c r="J997">
        <v>97300</v>
      </c>
    </row>
    <row r="998" spans="9:10" x14ac:dyDescent="0.3">
      <c r="I998" t="s">
        <v>14</v>
      </c>
      <c r="J998">
        <v>6600</v>
      </c>
    </row>
    <row r="999" spans="9:10" x14ac:dyDescent="0.3">
      <c r="I999" t="s">
        <v>74</v>
      </c>
      <c r="J999">
        <v>7600</v>
      </c>
    </row>
    <row r="1000" spans="9:10" x14ac:dyDescent="0.3">
      <c r="I1000" t="s">
        <v>14</v>
      </c>
      <c r="J1000">
        <v>66600</v>
      </c>
    </row>
    <row r="1001" spans="9:10" x14ac:dyDescent="0.3">
      <c r="I1001" t="s">
        <v>74</v>
      </c>
      <c r="J1001">
        <v>111100</v>
      </c>
    </row>
  </sheetData>
  <phoneticPr fontId="18" type="noConversion"/>
  <conditionalFormatting sqref="I1:I1048576">
    <cfRule type="containsText" dxfId="18" priority="1" operator="containsText" text="canceled">
      <formula>NOT(ISERROR(SEARCH("canceled",I1)))</formula>
    </cfRule>
    <cfRule type="containsText" priority="2" operator="containsText" text="canceled">
      <formula>NOT(ISERROR(SEARCH("canceled",I1)))</formula>
    </cfRule>
    <cfRule type="containsText" dxfId="17" priority="3" operator="containsText" text="live">
      <formula>NOT(ISERROR(SEARCH("live",I1)))</formula>
    </cfRule>
    <cfRule type="containsText" dxfId="16" priority="4" operator="containsText" text="successful">
      <formula>NOT(ISERROR(SEARCH("successful",I1)))</formula>
    </cfRule>
    <cfRule type="containsText" dxfId="15" priority="5" operator="containsText" text="successfull">
      <formula>NOT(ISERROR(SEARCH("successfull",I1)))</formula>
    </cfRule>
    <cfRule type="containsText" dxfId="14" priority="6" operator="containsText" text="failed">
      <formula>NOT(ISERROR(SEARCH("failed",I1)))</formula>
    </cfRule>
  </conditionalFormatting>
  <pageMargins left="0.7" right="0.7" top="0.75" bottom="0.75" header="0.3" footer="0.3"/>
  <pageSetup orientation="portrait" horizontalDpi="300" verticalDpi="30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Crowdfunding</vt:lpstr>
      <vt:lpstr>Sheet5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dapoadama@gmail.com</cp:lastModifiedBy>
  <dcterms:created xsi:type="dcterms:W3CDTF">2021-09-29T18:52:28Z</dcterms:created>
  <dcterms:modified xsi:type="dcterms:W3CDTF">2023-10-07T14:04:21Z</dcterms:modified>
</cp:coreProperties>
</file>